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Danfe\Restro_Order_Code\Master_RestroOrder\SageFrame\Documents\XLSX\"/>
    </mc:Choice>
  </mc:AlternateContent>
  <xr:revisionPtr revIDLastSave="0" documentId="13_ncr:1_{F7FF9A37-AFC5-44D6-99C7-F7044936025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able Of Contents" sheetId="1" r:id="rId1"/>
    <sheet name="Summary" sheetId="2" r:id="rId2"/>
    <sheet name="Daily Sales Report" sheetId="3" r:id="rId3"/>
    <sheet name="Item Sales Report" sheetId="4" r:id="rId4"/>
    <sheet name="Card Transactions" sheetId="5" r:id="rId5"/>
    <sheet name="Cheque Transactions" sheetId="6" r:id="rId6"/>
    <sheet name="Credit Collection" sheetId="7" r:id="rId7"/>
    <sheet name="Daily Purchase Report" sheetId="8" r:id="rId8"/>
    <sheet name="Daily Stock Report" sheetId="9" r:id="rId9"/>
    <sheet name="Customers" sheetId="10" r:id="rId10"/>
    <sheet name="Vendors" sheetId="11" r:id="rId11"/>
  </sheets>
  <definedNames>
    <definedName name="_xlnm.Print_Titles" localSheetId="4">'Card Transactions'!$9:$9</definedName>
    <definedName name="_xlnm.Print_Titles" localSheetId="5">'Cheque Transactions'!$9:$9</definedName>
    <definedName name="_xlnm.Print_Titles" localSheetId="6">'Credit Collection'!$9:$9</definedName>
    <definedName name="_xlnm.Print_Titles" localSheetId="9">Customers!$9:$9</definedName>
    <definedName name="_xlnm.Print_Titles" localSheetId="7">'Daily Purchase Report'!$9:$9</definedName>
    <definedName name="_xlnm.Print_Titles" localSheetId="2">'Daily Sales Report'!$9:$9</definedName>
    <definedName name="_xlnm.Print_Titles" localSheetId="8">'Daily Stock Report'!$9:$9</definedName>
    <definedName name="_xlnm.Print_Titles" localSheetId="3">'Item Sales Report'!$9:$9</definedName>
    <definedName name="_xlnm.Print_Titles" localSheetId="1">Summary!$9:$9</definedName>
    <definedName name="_xlnm.Print_Titles" localSheetId="10">Vendors!$9:$9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6" l="1"/>
  <c r="L12" i="5"/>
  <c r="I19" i="4"/>
  <c r="F19" i="4"/>
  <c r="X23" i="3"/>
  <c r="U23" i="3"/>
  <c r="X16" i="3"/>
  <c r="U16" i="3"/>
  <c r="P13" i="3"/>
  <c r="O13" i="3"/>
  <c r="N13" i="3"/>
  <c r="M13" i="3"/>
  <c r="L13" i="3"/>
  <c r="K13" i="3"/>
  <c r="J13" i="3"/>
  <c r="I13" i="3"/>
  <c r="H13" i="3"/>
  <c r="G13" i="3"/>
  <c r="F13" i="3"/>
  <c r="I18" i="2"/>
  <c r="I17" i="2"/>
  <c r="I16" i="2"/>
  <c r="I15" i="2"/>
  <c r="I14" i="2"/>
  <c r="I13" i="2"/>
  <c r="I12" i="2"/>
  <c r="I11" i="2"/>
  <c r="I10" i="2"/>
  <c r="I19" i="2" l="1"/>
</calcChain>
</file>

<file path=xl/sharedStrings.xml><?xml version="1.0" encoding="utf-8"?>
<sst xmlns="http://schemas.openxmlformats.org/spreadsheetml/2006/main" count="248" uniqueCount="134">
  <si>
    <t>RestroOrder Reports</t>
  </si>
  <si>
    <t>Table Of Contents</t>
  </si>
  <si>
    <t>22 June 2026</t>
  </si>
  <si>
    <t>#</t>
  </si>
  <si>
    <t>Sheet</t>
  </si>
  <si>
    <t>Description</t>
  </si>
  <si>
    <t>Summary</t>
  </si>
  <si>
    <t>Financial overview and cash breakdown</t>
  </si>
  <si>
    <t>Daily Sales Report</t>
  </si>
  <si>
    <t>Bill-by-bill sales with payment breakdown</t>
  </si>
  <si>
    <t>Item Sales Report</t>
  </si>
  <si>
    <t>Sales grouped by category and item</t>
  </si>
  <si>
    <t>Card Transactions</t>
  </si>
  <si>
    <t>All card payment transactions</t>
  </si>
  <si>
    <t>Cheque Transactions</t>
  </si>
  <si>
    <t>All cheque payment transactions</t>
  </si>
  <si>
    <t>Credit Collection</t>
  </si>
  <si>
    <t>Credit payments collected</t>
  </si>
  <si>
    <t>Daily Purchase Report</t>
  </si>
  <si>
    <t>Purchases made during the day</t>
  </si>
  <si>
    <t>Daily Stock Report</t>
  </si>
  <si>
    <t>Opening, consumed and closing stock</t>
  </si>
  <si>
    <t>Customers</t>
  </si>
  <si>
    <t>Customer credit balances</t>
  </si>
  <si>
    <t>Vendors</t>
  </si>
  <si>
    <t>Vendor balances</t>
  </si>
  <si>
    <t>Daily Summary Report</t>
  </si>
  <si>
    <t>Opening Balance</t>
  </si>
  <si>
    <t>Cash Denomination</t>
  </si>
  <si>
    <t>Qty.</t>
  </si>
  <si>
    <t>Total</t>
  </si>
  <si>
    <t>Provider</t>
  </si>
  <si>
    <t>Amount (Rs.)</t>
  </si>
  <si>
    <t>Cost Center</t>
  </si>
  <si>
    <t>Sales (Rs.)</t>
  </si>
  <si>
    <t>Sales</t>
  </si>
  <si>
    <t>Cash</t>
  </si>
  <si>
    <t>Citizens Bank</t>
  </si>
  <si>
    <t>Bakery</t>
  </si>
  <si>
    <t>Card</t>
  </si>
  <si>
    <t>Bar</t>
  </si>
  <si>
    <t>Cheque</t>
  </si>
  <si>
    <t>Kot</t>
  </si>
  <si>
    <t>Credit</t>
  </si>
  <si>
    <t>Trading</t>
  </si>
  <si>
    <t>eSewa</t>
  </si>
  <si>
    <t>FonePay</t>
  </si>
  <si>
    <t>Surplus/Deficit</t>
  </si>
  <si>
    <t>Advance</t>
  </si>
  <si>
    <t>Total Cash Received</t>
  </si>
  <si>
    <t>Total Expenses</t>
  </si>
  <si>
    <t>Cash In Counter</t>
  </si>
  <si>
    <t>Cash Settlement</t>
  </si>
  <si>
    <t>Closing Balance</t>
  </si>
  <si>
    <t>Bill No</t>
  </si>
  <si>
    <t>Time</t>
  </si>
  <si>
    <t>Basic Amt</t>
  </si>
  <si>
    <t>Discount</t>
  </si>
  <si>
    <t>Srv. Charge</t>
  </si>
  <si>
    <t>VAT</t>
  </si>
  <si>
    <t>Net Amt</t>
  </si>
  <si>
    <t>Tender Amt</t>
  </si>
  <si>
    <t>Return Amt</t>
  </si>
  <si>
    <t>Received Amt</t>
  </si>
  <si>
    <t>Cheque Amt</t>
  </si>
  <si>
    <t>Card Amt</t>
  </si>
  <si>
    <t>Credit Amt</t>
  </si>
  <si>
    <t>Payment Mode</t>
  </si>
  <si>
    <t>Customer</t>
  </si>
  <si>
    <t>RO82/83-20</t>
  </si>
  <si>
    <t>14:42:49</t>
  </si>
  <si>
    <t>CASH</t>
  </si>
  <si>
    <t/>
  </si>
  <si>
    <t>Breakfast (&lt;12 PM)</t>
  </si>
  <si>
    <t>Lunch (12–4 PM)</t>
  </si>
  <si>
    <t>RO82/83-21</t>
  </si>
  <si>
    <t>16:54:02</t>
  </si>
  <si>
    <t>CASH &amp; Cheque &amp; Card &amp; eSewa &amp;</t>
  </si>
  <si>
    <t>Sales Amount</t>
  </si>
  <si>
    <t>RO82/83-22</t>
  </si>
  <si>
    <t>16:54:47</t>
  </si>
  <si>
    <t>S. Charge</t>
  </si>
  <si>
    <t>Dinner (&gt;4 PM)</t>
  </si>
  <si>
    <t>Total Sales</t>
  </si>
  <si>
    <t>Category</t>
  </si>
  <si>
    <t>Item Name</t>
  </si>
  <si>
    <t>Qty</t>
  </si>
  <si>
    <t>Unit</t>
  </si>
  <si>
    <t>Unit Price (Rs.)</t>
  </si>
  <si>
    <t>Net Amount (Rs.)</t>
  </si>
  <si>
    <t xml:space="preserve">Apple pie </t>
  </si>
  <si>
    <t>PLT</t>
  </si>
  <si>
    <t>Biscoff Hot Latte</t>
  </si>
  <si>
    <t>CUP</t>
  </si>
  <si>
    <t>Blueberry Matcha</t>
  </si>
  <si>
    <t>GLS</t>
  </si>
  <si>
    <t>Coco Cloud</t>
  </si>
  <si>
    <t>Coconut Matcha</t>
  </si>
  <si>
    <t>Affogato</t>
  </si>
  <si>
    <t>Banana bread</t>
  </si>
  <si>
    <t>Colombia (250gm)</t>
  </si>
  <si>
    <t>PKT</t>
  </si>
  <si>
    <t>Decaf Beans (250gm)</t>
  </si>
  <si>
    <t>CAN</t>
  </si>
  <si>
    <t>Bill Date</t>
  </si>
  <si>
    <t>Room</t>
  </si>
  <si>
    <t>Table</t>
  </si>
  <si>
    <t>Pay Mode</t>
  </si>
  <si>
    <t>Check #</t>
  </si>
  <si>
    <t>Transaction #</t>
  </si>
  <si>
    <t>22/06/2026 00:00:00</t>
  </si>
  <si>
    <t>CARD</t>
  </si>
  <si>
    <t>0</t>
  </si>
  <si>
    <t>121`2`1</t>
  </si>
  <si>
    <t>CHEQUE</t>
  </si>
  <si>
    <t>Date</t>
  </si>
  <si>
    <t>Received By</t>
  </si>
  <si>
    <t>SN</t>
  </si>
  <si>
    <t>Purchase No.</t>
  </si>
  <si>
    <t>Vendor</t>
  </si>
  <si>
    <t>Address</t>
  </si>
  <si>
    <t>Rate (Rs.)</t>
  </si>
  <si>
    <t>VAT (Rs.)</t>
  </si>
  <si>
    <t>Fiscal Year</t>
  </si>
  <si>
    <t>Purchased By</t>
  </si>
  <si>
    <t>Purchase</t>
  </si>
  <si>
    <t>Consumed</t>
  </si>
  <si>
    <t>Full Name</t>
  </si>
  <si>
    <t>Country</t>
  </si>
  <si>
    <t>City</t>
  </si>
  <si>
    <t>Contact No.</t>
  </si>
  <si>
    <t>Card Number</t>
  </si>
  <si>
    <t>PAN</t>
  </si>
  <si>
    <t>Credit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</si>
</sst>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.00"/>
  </numFmts>
  <fonts count="16" x14ac:knownFonts="1">
    <font>
      <sz val="11"/>
      <color theme="1"/>
      <name val="Calibri"/>
      <family val="2"/>
      <scheme val="minor"/>
    </font>
    <font>
      <b/>
      <sz val="22"/>
      <color rgb="FFFFFFFF"/>
      <name val="Arial"/>
    </font>
    <font>
      <b/>
      <sz val="14"/>
      <color rgb="FF1B2A4A"/>
      <name val="Arial"/>
    </font>
    <font>
      <sz val="10"/>
      <color rgb="FF5A6A85"/>
      <name val="Arial"/>
    </font>
    <font>
      <b/>
      <sz val="9"/>
      <color rgb="FFFFFFFF"/>
      <name val="Arial"/>
    </font>
    <font>
      <b/>
      <sz val="9"/>
      <color rgb="FF2196F3"/>
      <name val="Arial"/>
    </font>
    <font>
      <b/>
      <sz val="9"/>
      <color rgb="FF1B2A4A"/>
      <name val="Arial"/>
    </font>
    <font>
      <sz val="9"/>
      <color rgb="FF5A6A85"/>
      <name val="Arial"/>
    </font>
    <font>
      <b/>
      <sz val="18"/>
      <color rgb="FFFFFFFF"/>
      <name val="Arial"/>
    </font>
    <font>
      <b/>
      <sz val="13"/>
      <color rgb="FF1B2A4A"/>
      <name val="Arial"/>
    </font>
    <font>
      <b/>
      <sz val="9"/>
      <color rgb="FF2E4A7A"/>
      <name val="Arial"/>
    </font>
    <font>
      <sz val="9"/>
      <color rgb="FF1B2A4A"/>
      <name val="Arial"/>
    </font>
    <font>
      <b/>
      <u/>
      <sz val="9"/>
      <color rgb="FF1B2A4A"/>
      <name val="Calibri"/>
    </font>
    <font>
      <b/>
      <u/>
      <sz val="9"/>
      <color rgb="FF0000FF"/>
      <name val="Arial"/>
    </font>
    <font>
      <sz val="8"/>
      <color theme="1"/>
      <name val="Calibri"/>
      <family val="2"/>
    </font>
    <font>
      <b/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196F3"/>
      </patternFill>
    </fill>
    <fill>
      <patternFill patternType="solid">
        <fgColor rgb="FFFFFFFF"/>
      </patternFill>
    </fill>
    <fill>
      <patternFill patternType="solid">
        <fgColor rgb="FFF5F7FA"/>
      </patternFill>
    </fill>
    <fill>
      <patternFill patternType="solid">
        <fgColor rgb="FFE8F1FB"/>
      </patternFill>
    </fill>
    <fill>
      <patternFill patternType="solid">
        <fgColor rgb="FF2E4A7A"/>
      </patternFill>
    </fill>
    <fill>
      <patternFill patternType="solid">
        <fgColor rgb="FFD3D3D3"/>
      </patternFill>
    </fill>
  </fills>
  <borders count="8">
    <border>
      <left/>
      <right/>
      <top/>
      <bottom/>
      <diagonal/>
    </border>
    <border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>
      <left style="thin">
        <color rgb="FFDDE3ED"/>
      </left>
      <right style="thin">
        <color rgb="FFDDE3ED"/>
      </right>
      <top style="thin">
        <color rgb="FFDDE3ED"/>
      </top>
      <bottom style="thin">
        <color rgb="FFDDE3ED"/>
      </bottom>
      <diagonal/>
    </border>
    <border>
      <left/>
      <right/>
      <top style="thin">
        <color rgb="FFDDE3ED"/>
      </top>
      <bottom style="thin">
        <color rgb="FFDDE3ED"/>
      </bottom>
      <diagonal/>
    </border>
    <border>
      <left/>
      <right style="thin">
        <color rgb="FFDDE3ED"/>
      </right>
      <top style="thin">
        <color rgb="FFDDE3ED"/>
      </top>
      <bottom style="thin">
        <color rgb="FFDDE3ED"/>
      </bottom>
      <diagonal/>
    </border>
    <border>
      <left/>
      <right/>
      <top style="thin">
        <color rgb="FF1B2A4A"/>
      </top>
      <bottom style="thin">
        <color rgb="FF1B2A4A"/>
      </bottom>
      <diagonal/>
    </border>
    <border>
      <left/>
      <right style="thin">
        <color rgb="FF1B2A4A"/>
      </right>
      <top style="thin">
        <color rgb="FF1B2A4A"/>
      </top>
      <bottom style="thin">
        <color rgb="FF1B2A4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0" fontId="3" fillId="0" borderId="0" xfId="0" applyFont="1" applyAlignment="1">
      <alignment horizontal="left" vertical="center"/>
    </xf>
    <xf numFmtId="0" fontId="0" fillId="3" borderId="0" xfId="0" applyFill="1"/>
    <xf numFmtId="0" fontId="4" fillId="2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4" fontId="0" fillId="6" borderId="2" xfId="0" applyNumberForma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right" vertical="center"/>
    </xf>
    <xf numFmtId="4" fontId="11" fillId="5" borderId="2" xfId="0" applyNumberFormat="1" applyFont="1" applyFill="1" applyBorder="1" applyAlignment="1">
      <alignment horizontal="right" vertical="center"/>
    </xf>
    <xf numFmtId="0" fontId="0" fillId="4" borderId="2" xfId="0" applyFill="1" applyBorder="1"/>
    <xf numFmtId="0" fontId="11" fillId="4" borderId="2" xfId="0" applyFont="1" applyFill="1" applyBorder="1" applyAlignment="1">
      <alignment horizontal="right" vertical="center"/>
    </xf>
    <xf numFmtId="4" fontId="11" fillId="4" borderId="2" xfId="0" applyNumberFormat="1" applyFont="1" applyFill="1" applyBorder="1" applyAlignment="1">
      <alignment horizontal="right" vertical="center"/>
    </xf>
    <xf numFmtId="0" fontId="0" fillId="5" borderId="2" xfId="0" applyFill="1" applyBorder="1"/>
    <xf numFmtId="0" fontId="10" fillId="4" borderId="2" xfId="0" applyFont="1" applyFill="1" applyBorder="1" applyAlignment="1">
      <alignment horizontal="left" vertical="center"/>
    </xf>
    <xf numFmtId="4" fontId="4" fillId="2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12" fillId="2" borderId="0" xfId="0" applyFont="1" applyFill="1"/>
    <xf numFmtId="0" fontId="14" fillId="0" borderId="7" xfId="0" applyFont="1" applyBorder="1"/>
    <xf numFmtId="0" fontId="15" fillId="8" borderId="7" xfId="0" applyFont="1" applyFill="1" applyBorder="1"/>
    <xf numFmtId="164" fontId="0" fillId="0" borderId="0" xfId="0" applyNumberFormat="1"/>
    <xf numFmtId="164" fontId="14" fillId="0" borderId="7" xfId="0" applyNumberFormat="1" applyFont="1" applyBorder="1"/>
    <xf numFmtId="164" fontId="15" fillId="8" borderId="7" xfId="0" applyNumberFormat="1" applyFont="1" applyFill="1" applyBorder="1"/>
    <xf numFmtId="164" fontId="6" fillId="6" borderId="2" xfId="0" applyNumberFormat="1" applyFont="1" applyFill="1" applyBorder="1"/>
    <xf numFmtId="164" fontId="0" fillId="5" borderId="2" xfId="0" applyNumberFormat="1" applyFill="1" applyBorder="1" applyAlignment="1">
      <alignment horizontal="right" vertical="center"/>
    </xf>
    <xf numFmtId="164" fontId="0" fillId="4" borderId="2" xfId="0" applyNumberFormat="1" applyFill="1" applyBorder="1" applyAlignment="1">
      <alignment horizontal="right" vertical="center"/>
    </xf>
    <xf numFmtId="164" fontId="6" fillId="6" borderId="1" xfId="0" applyNumberFormat="1" applyFont="1" applyFill="1" applyBorder="1" applyAlignment="1">
      <alignment horizontal="right" vertical="center"/>
    </xf>
    <xf numFmtId="164" fontId="11" fillId="4" borderId="2" xfId="0" applyNumberFormat="1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0" fillId="0" borderId="0" xfId="0"/>
    <xf numFmtId="0" fontId="8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7" fillId="5" borderId="2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13" fillId="4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13" fillId="5" borderId="2" xfId="0" applyFont="1" applyFill="1" applyBorder="1" applyAlignment="1">
      <alignment horizontal="left" vertical="center"/>
    </xf>
    <xf numFmtId="0" fontId="11" fillId="4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S19"/>
  <sheetViews>
    <sheetView showGridLines="0" topLeftCell="A4" workbookViewId="0">
      <selection activeCell="E12" sqref="E12:H12"/>
    </sheetView>
  </sheetViews>
  <sheetFormatPr defaultRowHeight="15" x14ac:dyDescent="0.25"/>
  <cols>
    <col min="1" max="3" width="9.140625" customWidth="1"/>
    <col min="4" max="4" width="13.28515625" bestFit="1" customWidth="1"/>
    <col min="5" max="19" width="9.140625" customWidth="1"/>
  </cols>
  <sheetData>
    <row r="1" spans="1:1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45" t="s">
        <v>0</v>
      </c>
      <c r="E2" s="36"/>
      <c r="F2" s="36"/>
      <c r="G2" s="36"/>
      <c r="H2" s="36"/>
      <c r="I2" s="36"/>
      <c r="J2" s="36"/>
      <c r="K2" s="36"/>
      <c r="L2" s="36"/>
      <c r="M2" s="36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36"/>
      <c r="E3" s="36"/>
      <c r="F3" s="36"/>
      <c r="G3" s="36"/>
      <c r="H3" s="36"/>
      <c r="I3" s="36"/>
      <c r="J3" s="36"/>
      <c r="K3" s="36"/>
      <c r="L3" s="36"/>
      <c r="M3" s="36"/>
      <c r="N3" s="1"/>
      <c r="O3" s="1"/>
      <c r="P3" s="1"/>
      <c r="Q3" s="1"/>
      <c r="R3" s="1"/>
      <c r="S3" s="1"/>
    </row>
    <row r="4" spans="1:1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8" customHeight="1" x14ac:dyDescent="0.25">
      <c r="D5" s="46" t="s">
        <v>1</v>
      </c>
      <c r="E5" s="36"/>
      <c r="F5" s="36"/>
      <c r="G5" s="36"/>
      <c r="H5" s="36"/>
      <c r="I5" s="36"/>
      <c r="J5" s="36"/>
      <c r="K5" s="36"/>
      <c r="L5" s="36"/>
      <c r="M5" s="36"/>
    </row>
    <row r="6" spans="1:19" x14ac:dyDescent="0.25">
      <c r="D6" s="2" t="s">
        <v>2</v>
      </c>
    </row>
    <row r="7" spans="1:19" ht="3" customHeight="1" x14ac:dyDescent="0.25">
      <c r="D7" s="3"/>
      <c r="E7" s="3"/>
      <c r="F7" s="3"/>
      <c r="G7" s="3"/>
      <c r="H7" s="3"/>
      <c r="I7" s="3"/>
      <c r="J7" s="3"/>
      <c r="K7" s="3"/>
      <c r="L7" s="3"/>
      <c r="M7" s="3"/>
    </row>
    <row r="8" spans="1:19" ht="8.1" customHeight="1" x14ac:dyDescent="0.25"/>
    <row r="9" spans="1:19" ht="24" customHeight="1" x14ac:dyDescent="0.25">
      <c r="D9" s="4" t="s">
        <v>3</v>
      </c>
      <c r="E9" s="38" t="s">
        <v>4</v>
      </c>
      <c r="F9" s="39"/>
      <c r="G9" s="39"/>
      <c r="H9" s="40"/>
      <c r="I9" s="38" t="s">
        <v>5</v>
      </c>
      <c r="J9" s="39"/>
      <c r="K9" s="39"/>
      <c r="L9" s="39"/>
      <c r="M9" s="40"/>
    </row>
    <row r="10" spans="1:19" ht="20.100000000000001" customHeight="1" x14ac:dyDescent="0.25">
      <c r="D10" s="5">
        <v>1</v>
      </c>
      <c r="E10" s="44" t="s">
        <v>6</v>
      </c>
      <c r="F10" s="42"/>
      <c r="G10" s="42"/>
      <c r="H10" s="43"/>
      <c r="I10" s="47" t="s">
        <v>7</v>
      </c>
      <c r="J10" s="42"/>
      <c r="K10" s="42"/>
      <c r="L10" s="42"/>
      <c r="M10" s="43"/>
    </row>
    <row r="11" spans="1:19" ht="20.100000000000001" customHeight="1" x14ac:dyDescent="0.25">
      <c r="D11" s="6">
        <v>2</v>
      </c>
      <c r="E11" s="48" t="s">
        <v>8</v>
      </c>
      <c r="F11" s="42"/>
      <c r="G11" s="42"/>
      <c r="H11" s="43"/>
      <c r="I11" s="41" t="s">
        <v>9</v>
      </c>
      <c r="J11" s="42"/>
      <c r="K11" s="42"/>
      <c r="L11" s="42"/>
      <c r="M11" s="43"/>
    </row>
    <row r="12" spans="1:19" ht="20.100000000000001" customHeight="1" x14ac:dyDescent="0.25">
      <c r="D12" s="5">
        <v>3</v>
      </c>
      <c r="E12" s="44" t="s">
        <v>10</v>
      </c>
      <c r="F12" s="42"/>
      <c r="G12" s="42"/>
      <c r="H12" s="43"/>
      <c r="I12" s="47" t="s">
        <v>11</v>
      </c>
      <c r="J12" s="42"/>
      <c r="K12" s="42"/>
      <c r="L12" s="42"/>
      <c r="M12" s="43"/>
    </row>
    <row r="13" spans="1:19" ht="20.100000000000001" customHeight="1" x14ac:dyDescent="0.25">
      <c r="D13" s="6">
        <v>4</v>
      </c>
      <c r="E13" s="48" t="s">
        <v>12</v>
      </c>
      <c r="F13" s="42"/>
      <c r="G13" s="42"/>
      <c r="H13" s="43"/>
      <c r="I13" s="41" t="s">
        <v>13</v>
      </c>
      <c r="J13" s="42"/>
      <c r="K13" s="42"/>
      <c r="L13" s="42"/>
      <c r="M13" s="43"/>
    </row>
    <row r="14" spans="1:19" ht="20.100000000000001" customHeight="1" x14ac:dyDescent="0.25">
      <c r="D14" s="5">
        <v>5</v>
      </c>
      <c r="E14" s="44" t="s">
        <v>14</v>
      </c>
      <c r="F14" s="42"/>
      <c r="G14" s="42"/>
      <c r="H14" s="43"/>
      <c r="I14" s="47" t="s">
        <v>15</v>
      </c>
      <c r="J14" s="42"/>
      <c r="K14" s="42"/>
      <c r="L14" s="42"/>
      <c r="M14" s="43"/>
    </row>
    <row r="15" spans="1:19" ht="20.100000000000001" customHeight="1" x14ac:dyDescent="0.25">
      <c r="D15" s="6">
        <v>6</v>
      </c>
      <c r="E15" s="48" t="s">
        <v>16</v>
      </c>
      <c r="F15" s="42"/>
      <c r="G15" s="42"/>
      <c r="H15" s="43"/>
      <c r="I15" s="41" t="s">
        <v>17</v>
      </c>
      <c r="J15" s="42"/>
      <c r="K15" s="42"/>
      <c r="L15" s="42"/>
      <c r="M15" s="43"/>
    </row>
    <row r="16" spans="1:19" ht="20.100000000000001" customHeight="1" x14ac:dyDescent="0.25">
      <c r="D16" s="5">
        <v>7</v>
      </c>
      <c r="E16" s="44" t="s">
        <v>18</v>
      </c>
      <c r="F16" s="42"/>
      <c r="G16" s="42"/>
      <c r="H16" s="43"/>
      <c r="I16" s="47" t="s">
        <v>19</v>
      </c>
      <c r="J16" s="42"/>
      <c r="K16" s="42"/>
      <c r="L16" s="42"/>
      <c r="M16" s="43"/>
    </row>
    <row r="17" spans="4:13" ht="20.100000000000001" customHeight="1" x14ac:dyDescent="0.25">
      <c r="D17" s="6">
        <v>8</v>
      </c>
      <c r="E17" s="48" t="s">
        <v>20</v>
      </c>
      <c r="F17" s="42"/>
      <c r="G17" s="42"/>
      <c r="H17" s="43"/>
      <c r="I17" s="41" t="s">
        <v>21</v>
      </c>
      <c r="J17" s="42"/>
      <c r="K17" s="42"/>
      <c r="L17" s="42"/>
      <c r="M17" s="43"/>
    </row>
    <row r="18" spans="4:13" ht="20.100000000000001" customHeight="1" x14ac:dyDescent="0.25">
      <c r="D18" s="5">
        <v>9</v>
      </c>
      <c r="E18" s="44" t="s">
        <v>22</v>
      </c>
      <c r="F18" s="42"/>
      <c r="G18" s="42"/>
      <c r="H18" s="43"/>
      <c r="I18" s="47" t="s">
        <v>23</v>
      </c>
      <c r="J18" s="42"/>
      <c r="K18" s="42"/>
      <c r="L18" s="42"/>
      <c r="M18" s="43"/>
    </row>
    <row r="19" spans="4:13" ht="20.100000000000001" customHeight="1" x14ac:dyDescent="0.25">
      <c r="D19" s="6">
        <v>10</v>
      </c>
      <c r="E19" s="48" t="s">
        <v>24</v>
      </c>
      <c r="F19" s="42"/>
      <c r="G19" s="42"/>
      <c r="H19" s="43"/>
      <c r="I19" s="41" t="s">
        <v>25</v>
      </c>
      <c r="J19" s="42"/>
      <c r="K19" s="42"/>
      <c r="L19" s="42"/>
      <c r="M19" s="43"/>
    </row>
  </sheetData>
  <mergeCells count="24">
    <mergeCell ref="E19:H19"/>
    <mergeCell ref="E10:H10"/>
    <mergeCell ref="E13:H13"/>
    <mergeCell ref="I17:M17"/>
    <mergeCell ref="E9:H9"/>
    <mergeCell ref="I10:M10"/>
    <mergeCell ref="I13:M13"/>
    <mergeCell ref="E15:H15"/>
    <mergeCell ref="I19:M19"/>
    <mergeCell ref="E11:H11"/>
    <mergeCell ref="E18:H18"/>
    <mergeCell ref="E12:H12"/>
    <mergeCell ref="I16:M16"/>
    <mergeCell ref="I12:M12"/>
    <mergeCell ref="E14:H14"/>
    <mergeCell ref="I18:M18"/>
    <mergeCell ref="E17:H17"/>
    <mergeCell ref="I14:M14"/>
    <mergeCell ref="I9:M9"/>
    <mergeCell ref="I15:M15"/>
    <mergeCell ref="E16:H16"/>
    <mergeCell ref="I11:M11"/>
    <mergeCell ref="D2:M3"/>
    <mergeCell ref="D5:M5"/>
  </mergeCells>
  <hyperlinks>
    <hyperlink ref="E10" location="'Summary'!A1" display="Summary" xr:uid="{00000000-0004-0000-0000-000000000000}"/>
    <hyperlink ref="E11" location="'Daily Sales Report'!A1" display="Daily Sales Report" xr:uid="{00000000-0004-0000-0000-000001000000}"/>
    <hyperlink ref="E12" location="'Item Sales Report'!A1" display="Item Sales Report" xr:uid="{00000000-0004-0000-0000-000002000000}"/>
    <hyperlink ref="E13" location="'Card Transactions'!A1" display="Card Transactions" xr:uid="{00000000-0004-0000-0000-000003000000}"/>
    <hyperlink ref="E14" location="'Cheque Transactions'!A1" display="Cheque Transactions" xr:uid="{00000000-0004-0000-0000-000004000000}"/>
    <hyperlink ref="E15" location="'Credit Collection'!A1" display="Credit Collection" xr:uid="{00000000-0004-0000-0000-000005000000}"/>
    <hyperlink ref="E16" location="'Daily Purchase Report'!A1" display="Daily Purchase Report" xr:uid="{00000000-0004-0000-0000-000006000000}"/>
    <hyperlink ref="E17" location="'Daily Stock Report'!A1" display="Daily Stock Report" xr:uid="{00000000-0004-0000-0000-000007000000}"/>
    <hyperlink ref="E18" location="'Customers'!A1" display="Customers" xr:uid="{00000000-0004-0000-0000-000008000000}"/>
    <hyperlink ref="E19" location="'Vendors'!A1" display="Vendors" xr:uid="{00000000-0004-0000-0000-000009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7AE60"/>
    <pageSetUpPr fitToPage="1"/>
  </sheetPr>
  <dimension ref="A1:AC31"/>
  <sheetViews>
    <sheetView showGridLines="0" tabSelected="1"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4.42578125" customWidth="1"/>
    <col min="2" max="3" width="9.140625" customWidth="1"/>
    <col min="4" max="4" width="14.85546875" bestFit="1" customWidth="1"/>
    <col min="5" max="5" width="12.7109375" bestFit="1" customWidth="1"/>
    <col min="6" max="6" width="9.140625" customWidth="1"/>
    <col min="7" max="7" width="17.85546875" bestFit="1" customWidth="1"/>
    <col min="8" max="9" width="9.140625" bestFit="1" customWidth="1"/>
    <col min="10" max="10" width="9.140625" customWidth="1"/>
    <col min="11" max="11" width="9.5703125" bestFit="1" customWidth="1"/>
    <col min="12" max="12" width="12.42578125" bestFit="1" customWidth="1"/>
    <col min="13" max="13" width="9.140625" customWidth="1"/>
    <col min="14" max="14" width="11.28515625" bestFit="1" customWidth="1"/>
    <col min="15" max="15" width="10.28515625" bestFit="1" customWidth="1"/>
    <col min="16" max="29" width="9.140625" customWidth="1"/>
  </cols>
  <sheetData>
    <row r="1" spans="1:29" x14ac:dyDescent="0.25">
      <c r="A1" s="23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s="1"/>
      <c r="B2" s="1"/>
      <c r="C2" s="1"/>
      <c r="D2" s="37" t="s">
        <v>0</v>
      </c>
      <c r="E2" s="36"/>
      <c r="F2" s="36"/>
      <c r="G2" s="36"/>
      <c r="H2" s="36"/>
      <c r="I2" s="36"/>
      <c r="J2" s="36"/>
      <c r="K2" s="36"/>
      <c r="L2" s="3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1"/>
      <c r="B3" s="1"/>
      <c r="C3" s="1"/>
      <c r="D3" s="36"/>
      <c r="E3" s="36"/>
      <c r="F3" s="36"/>
      <c r="G3" s="36"/>
      <c r="H3" s="36"/>
      <c r="I3" s="36"/>
      <c r="J3" s="36"/>
      <c r="K3" s="36"/>
      <c r="L3" s="3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6.5" customHeight="1" x14ac:dyDescent="0.25">
      <c r="D5" s="35" t="s">
        <v>26</v>
      </c>
      <c r="E5" s="36"/>
      <c r="F5" s="36"/>
      <c r="G5" s="36"/>
      <c r="H5" s="36"/>
      <c r="I5" s="36"/>
      <c r="J5" s="36"/>
      <c r="K5" s="36"/>
      <c r="L5" s="36"/>
    </row>
    <row r="6" spans="1:29" x14ac:dyDescent="0.25">
      <c r="D6" s="2"/>
    </row>
    <row r="7" spans="1:29" ht="3" customHeight="1" x14ac:dyDescent="0.25"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9" spans="1:29" ht="20.100000000000001" customHeight="1" x14ac:dyDescent="0.25">
      <c r="D9" s="50" t="s">
        <v>27</v>
      </c>
      <c r="E9" s="7"/>
      <c r="F9" s="26">
        <v>3340</v>
      </c>
      <c r="G9" s="4" t="s">
        <v>28</v>
      </c>
      <c r="H9" s="4" t="s">
        <v>29</v>
      </c>
      <c r="I9" s="4" t="s">
        <v>30</v>
      </c>
      <c r="K9" s="8" t="s">
        <v>31</v>
      </c>
      <c r="L9" s="8" t="s">
        <v>32</v>
      </c>
      <c r="N9" s="8" t="s">
        <v>33</v>
      </c>
      <c r="O9" s="8" t="s">
        <v>34</v>
      </c>
    </row>
    <row r="10" spans="1:29" ht="18" customHeight="1" x14ac:dyDescent="0.25">
      <c r="D10" s="9" t="s">
        <v>35</v>
      </c>
      <c r="E10" s="10" t="s">
        <v>36</v>
      </c>
      <c r="F10" s="30">
        <v>3786.67</v>
      </c>
      <c r="G10" s="11">
        <v>1000</v>
      </c>
      <c r="H10" s="11">
        <v>7</v>
      </c>
      <c r="I10" s="12">
        <f t="shared" ref="I10:I18" si="0">G10*H10</f>
        <v>7000</v>
      </c>
      <c r="K10" s="24" t="s">
        <v>37</v>
      </c>
      <c r="L10" s="27">
        <v>14830.01</v>
      </c>
      <c r="N10" s="24" t="s">
        <v>38</v>
      </c>
      <c r="O10" s="27">
        <v>2800</v>
      </c>
    </row>
    <row r="11" spans="1:29" ht="18" customHeight="1" x14ac:dyDescent="0.25">
      <c r="D11" s="13"/>
      <c r="E11" s="21" t="s">
        <v>39</v>
      </c>
      <c r="F11" s="31">
        <v>7220</v>
      </c>
      <c r="G11" s="14">
        <v>500</v>
      </c>
      <c r="H11" s="14">
        <v>0</v>
      </c>
      <c r="I11" s="15">
        <f t="shared" si="0"/>
        <v>0</v>
      </c>
      <c r="K11" s="24"/>
      <c r="L11" s="24"/>
      <c r="N11" s="24" t="s">
        <v>40</v>
      </c>
      <c r="O11" s="27">
        <v>5800</v>
      </c>
    </row>
    <row r="12" spans="1:29" ht="18" customHeight="1" x14ac:dyDescent="0.25">
      <c r="D12" s="16"/>
      <c r="E12" s="10" t="s">
        <v>41</v>
      </c>
      <c r="F12" s="30">
        <v>2536.67</v>
      </c>
      <c r="G12" s="11">
        <v>100</v>
      </c>
      <c r="H12" s="11">
        <v>1</v>
      </c>
      <c r="I12" s="12">
        <f t="shared" si="0"/>
        <v>100</v>
      </c>
      <c r="N12" s="24" t="s">
        <v>42</v>
      </c>
      <c r="O12" s="27">
        <v>5650</v>
      </c>
    </row>
    <row r="13" spans="1:29" ht="18" customHeight="1" x14ac:dyDescent="0.25">
      <c r="D13" s="13"/>
      <c r="E13" s="21" t="s">
        <v>43</v>
      </c>
      <c r="F13" s="31">
        <v>0</v>
      </c>
      <c r="G13" s="14">
        <v>50</v>
      </c>
      <c r="H13" s="14">
        <v>0</v>
      </c>
      <c r="I13" s="15">
        <f t="shared" si="0"/>
        <v>0</v>
      </c>
      <c r="N13" s="24" t="s">
        <v>44</v>
      </c>
      <c r="O13" s="27">
        <v>4440</v>
      </c>
    </row>
    <row r="14" spans="1:29" ht="18" customHeight="1" x14ac:dyDescent="0.25">
      <c r="D14" s="16"/>
      <c r="E14" s="10" t="s">
        <v>45</v>
      </c>
      <c r="F14" s="30">
        <v>2536.67</v>
      </c>
      <c r="G14" s="11">
        <v>20</v>
      </c>
      <c r="H14" s="11">
        <v>1</v>
      </c>
      <c r="I14" s="12">
        <f t="shared" si="0"/>
        <v>20</v>
      </c>
      <c r="N14" s="24"/>
      <c r="O14" s="24"/>
    </row>
    <row r="15" spans="1:29" ht="18" customHeight="1" x14ac:dyDescent="0.25">
      <c r="D15" s="13"/>
      <c r="E15" s="21" t="s">
        <v>46</v>
      </c>
      <c r="F15" s="31">
        <v>2536.67</v>
      </c>
      <c r="G15" s="14">
        <v>10</v>
      </c>
      <c r="H15" s="14">
        <v>0</v>
      </c>
      <c r="I15" s="15">
        <f t="shared" si="0"/>
        <v>0</v>
      </c>
    </row>
    <row r="16" spans="1:29" ht="18" customHeight="1" x14ac:dyDescent="0.25">
      <c r="D16" s="16"/>
      <c r="E16" s="10" t="s">
        <v>47</v>
      </c>
      <c r="F16" s="30">
        <v>0</v>
      </c>
      <c r="G16" s="11">
        <v>5</v>
      </c>
      <c r="H16" s="11">
        <v>1</v>
      </c>
      <c r="I16" s="12">
        <f t="shared" si="0"/>
        <v>5</v>
      </c>
    </row>
    <row r="17" spans="4:9" ht="18" customHeight="1" x14ac:dyDescent="0.25">
      <c r="D17" s="17" t="s">
        <v>43</v>
      </c>
      <c r="E17" s="21" t="s">
        <v>36</v>
      </c>
      <c r="F17" s="31">
        <v>0</v>
      </c>
      <c r="G17" s="14">
        <v>2</v>
      </c>
      <c r="H17" s="14">
        <v>0</v>
      </c>
      <c r="I17" s="15">
        <f t="shared" si="0"/>
        <v>0</v>
      </c>
    </row>
    <row r="18" spans="4:9" ht="18" customHeight="1" x14ac:dyDescent="0.25">
      <c r="D18" s="16"/>
      <c r="E18" s="10" t="s">
        <v>39</v>
      </c>
      <c r="F18" s="30">
        <v>0</v>
      </c>
      <c r="G18" s="11">
        <v>1</v>
      </c>
      <c r="H18" s="11">
        <v>0</v>
      </c>
      <c r="I18" s="12">
        <f t="shared" si="0"/>
        <v>0</v>
      </c>
    </row>
    <row r="19" spans="4:9" ht="18" customHeight="1" x14ac:dyDescent="0.25">
      <c r="D19" s="13"/>
      <c r="E19" s="21" t="s">
        <v>41</v>
      </c>
      <c r="F19" s="31">
        <v>0</v>
      </c>
      <c r="G19" s="52" t="s">
        <v>30</v>
      </c>
      <c r="H19" s="40"/>
      <c r="I19" s="18">
        <f>SUM(I10:I18)</f>
        <v>7125</v>
      </c>
    </row>
    <row r="20" spans="4:9" ht="18" customHeight="1" x14ac:dyDescent="0.25">
      <c r="D20" s="16"/>
      <c r="E20" s="10" t="s">
        <v>45</v>
      </c>
      <c r="F20" s="30">
        <v>0</v>
      </c>
    </row>
    <row r="21" spans="4:9" ht="18" customHeight="1" x14ac:dyDescent="0.25">
      <c r="D21" s="13"/>
      <c r="E21" s="21" t="s">
        <v>46</v>
      </c>
      <c r="F21" s="31">
        <v>0</v>
      </c>
    </row>
    <row r="22" spans="4:9" ht="18" customHeight="1" x14ac:dyDescent="0.25">
      <c r="D22" s="9" t="s">
        <v>48</v>
      </c>
      <c r="E22" s="10" t="s">
        <v>36</v>
      </c>
      <c r="F22" s="30">
        <v>0</v>
      </c>
    </row>
    <row r="23" spans="4:9" ht="18" customHeight="1" x14ac:dyDescent="0.25">
      <c r="D23" s="13"/>
      <c r="E23" s="21" t="s">
        <v>39</v>
      </c>
      <c r="F23" s="31">
        <v>0</v>
      </c>
    </row>
    <row r="24" spans="4:9" ht="18" customHeight="1" x14ac:dyDescent="0.25">
      <c r="D24" s="16"/>
      <c r="E24" s="10" t="s">
        <v>41</v>
      </c>
      <c r="F24" s="30">
        <v>0</v>
      </c>
    </row>
    <row r="25" spans="4:9" ht="18" customHeight="1" x14ac:dyDescent="0.25">
      <c r="D25" s="13"/>
      <c r="E25" s="21" t="s">
        <v>45</v>
      </c>
      <c r="F25" s="31">
        <v>0</v>
      </c>
    </row>
    <row r="26" spans="4:9" ht="18" customHeight="1" x14ac:dyDescent="0.25">
      <c r="D26" s="16"/>
      <c r="E26" s="10" t="s">
        <v>46</v>
      </c>
      <c r="F26" s="30">
        <v>0</v>
      </c>
    </row>
    <row r="27" spans="4:9" ht="20.100000000000001" customHeight="1" x14ac:dyDescent="0.25">
      <c r="D27" s="51" t="s">
        <v>49</v>
      </c>
      <c r="E27" s="40"/>
      <c r="F27" s="32">
        <v>3786.67</v>
      </c>
    </row>
    <row r="28" spans="4:9" ht="20.100000000000001" customHeight="1" x14ac:dyDescent="0.25">
      <c r="D28" s="49" t="s">
        <v>50</v>
      </c>
      <c r="E28" s="43"/>
      <c r="F28" s="33">
        <v>0</v>
      </c>
    </row>
    <row r="29" spans="4:9" ht="20.100000000000001" customHeight="1" x14ac:dyDescent="0.25">
      <c r="D29" s="51" t="s">
        <v>51</v>
      </c>
      <c r="E29" s="40"/>
      <c r="F29" s="32">
        <v>7126.67</v>
      </c>
    </row>
    <row r="30" spans="4:9" ht="20.100000000000001" customHeight="1" x14ac:dyDescent="0.25">
      <c r="D30" s="49" t="s">
        <v>52</v>
      </c>
      <c r="E30" s="43"/>
      <c r="F30" s="33">
        <v>1.67</v>
      </c>
    </row>
    <row r="31" spans="4:9" ht="20.100000000000001" customHeight="1" x14ac:dyDescent="0.25">
      <c r="D31" s="38" t="s">
        <v>53</v>
      </c>
      <c r="E31" s="40"/>
      <c r="F31" s="34">
        <v>7125</v>
      </c>
    </row>
  </sheetData>
  <mergeCells count="9">
    <mergeCell ref="D31:E31"/>
    <mergeCell ref="D2:L3"/>
    <mergeCell ref="D30:E30"/>
    <mergeCell ref="D5:L5"/>
    <mergeCell ref="D9"/>
    <mergeCell ref="D29:E29"/>
    <mergeCell ref="D27:E27"/>
    <mergeCell ref="G19:H19"/>
    <mergeCell ref="D28:E28"/>
  </mergeCells>
  <hyperlinks>
    <hyperlink ref="A1" location="'Table Of Contents'!A1" display="Table Of Contents" xr:uid="{00000000-0004-0000-0100-000000000000}"/>
  </hyperlink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196F3"/>
    <pageSetUpPr fitToPage="1"/>
  </sheetPr>
  <dimension ref="A1:AC23"/>
  <sheetViews>
    <sheetView showGridLines="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4.42578125" customWidth="1"/>
    <col min="2" max="16" width="9.140625" customWidth="1"/>
    <col min="17" max="17" width="24.140625" bestFit="1" customWidth="1"/>
    <col min="18" max="19" width="9.140625" customWidth="1"/>
    <col min="20" max="20" width="12.28515625" customWidth="1"/>
    <col min="21" max="21" width="10.140625" customWidth="1"/>
    <col min="22" max="22" width="9.140625" customWidth="1"/>
    <col min="23" max="23" width="12.28515625" customWidth="1"/>
    <col min="24" max="24" width="10.140625" customWidth="1"/>
    <col min="25" max="29" width="9.140625" customWidth="1"/>
  </cols>
  <sheetData>
    <row r="1" spans="1:29" x14ac:dyDescent="0.25">
      <c r="A1" s="23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s="1"/>
      <c r="B2" s="1"/>
      <c r="C2" s="1"/>
      <c r="D2" s="37" t="s">
        <v>0</v>
      </c>
      <c r="E2" s="36"/>
      <c r="F2" s="36"/>
      <c r="G2" s="36"/>
      <c r="H2" s="36"/>
      <c r="I2" s="36"/>
      <c r="J2" s="36"/>
      <c r="K2" s="36"/>
      <c r="L2" s="3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1"/>
      <c r="B3" s="1"/>
      <c r="C3" s="1"/>
      <c r="D3" s="36"/>
      <c r="E3" s="36"/>
      <c r="F3" s="36"/>
      <c r="G3" s="36"/>
      <c r="H3" s="36"/>
      <c r="I3" s="36"/>
      <c r="J3" s="36"/>
      <c r="K3" s="36"/>
      <c r="L3" s="3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6.5" customHeight="1" x14ac:dyDescent="0.25">
      <c r="D5" s="35" t="s">
        <v>8</v>
      </c>
      <c r="E5" s="36"/>
      <c r="F5" s="36"/>
      <c r="G5" s="36"/>
      <c r="H5" s="36"/>
      <c r="I5" s="36"/>
      <c r="J5" s="36"/>
      <c r="K5" s="36"/>
      <c r="L5" s="36"/>
    </row>
    <row r="6" spans="1:29" x14ac:dyDescent="0.25">
      <c r="D6" s="2"/>
    </row>
    <row r="7" spans="1:29" ht="3" customHeight="1" x14ac:dyDescent="0.25"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9" spans="1:29" ht="27.95" customHeight="1" x14ac:dyDescent="0.25">
      <c r="D9" s="19" t="s">
        <v>54</v>
      </c>
      <c r="E9" s="19" t="s">
        <v>55</v>
      </c>
      <c r="F9" s="19" t="s">
        <v>56</v>
      </c>
      <c r="G9" s="19" t="s">
        <v>57</v>
      </c>
      <c r="H9" s="19" t="s">
        <v>58</v>
      </c>
      <c r="I9" s="19" t="s">
        <v>59</v>
      </c>
      <c r="J9" s="19" t="s">
        <v>60</v>
      </c>
      <c r="K9" s="19" t="s">
        <v>61</v>
      </c>
      <c r="L9" s="19" t="s">
        <v>62</v>
      </c>
      <c r="M9" s="19" t="s">
        <v>63</v>
      </c>
      <c r="N9" s="19" t="s">
        <v>64</v>
      </c>
      <c r="O9" s="19" t="s">
        <v>65</v>
      </c>
      <c r="P9" s="19" t="s">
        <v>66</v>
      </c>
      <c r="Q9" s="19" t="s">
        <v>67</v>
      </c>
      <c r="R9" s="19" t="s">
        <v>68</v>
      </c>
    </row>
    <row r="10" spans="1:29" ht="24" customHeight="1" x14ac:dyDescent="0.25">
      <c r="D10" s="24" t="s">
        <v>69</v>
      </c>
      <c r="E10" s="24" t="s">
        <v>70</v>
      </c>
      <c r="F10" s="27">
        <v>1250</v>
      </c>
      <c r="G10" s="27">
        <v>0</v>
      </c>
      <c r="H10" s="27">
        <v>0</v>
      </c>
      <c r="I10" s="27">
        <v>0</v>
      </c>
      <c r="J10" s="27">
        <v>1250</v>
      </c>
      <c r="K10" s="27">
        <v>1250</v>
      </c>
      <c r="L10" s="27">
        <v>0</v>
      </c>
      <c r="M10" s="27">
        <v>1250</v>
      </c>
      <c r="N10" s="27">
        <v>0</v>
      </c>
      <c r="O10" s="27">
        <v>0</v>
      </c>
      <c r="P10" s="27">
        <v>0</v>
      </c>
      <c r="Q10" s="24" t="s">
        <v>71</v>
      </c>
      <c r="R10" s="24" t="s">
        <v>72</v>
      </c>
      <c r="T10" s="20"/>
      <c r="U10" s="20" t="s">
        <v>73</v>
      </c>
      <c r="V10" s="20"/>
      <c r="W10" s="20"/>
      <c r="X10" s="20" t="s">
        <v>74</v>
      </c>
    </row>
    <row r="11" spans="1:29" x14ac:dyDescent="0.25">
      <c r="D11" s="24" t="s">
        <v>75</v>
      </c>
      <c r="E11" s="24" t="s">
        <v>76</v>
      </c>
      <c r="F11" s="27">
        <v>15220</v>
      </c>
      <c r="G11" s="27">
        <v>0</v>
      </c>
      <c r="H11" s="27">
        <v>0</v>
      </c>
      <c r="I11" s="27">
        <v>0</v>
      </c>
      <c r="J11" s="27">
        <v>15220</v>
      </c>
      <c r="K11" s="27">
        <v>15220</v>
      </c>
      <c r="L11" s="27">
        <v>0</v>
      </c>
      <c r="M11" s="27">
        <v>2536.67</v>
      </c>
      <c r="N11" s="27">
        <v>2536.67</v>
      </c>
      <c r="O11" s="27">
        <v>5000</v>
      </c>
      <c r="P11" s="27">
        <v>0</v>
      </c>
      <c r="Q11" s="24" t="s">
        <v>77</v>
      </c>
      <c r="R11" s="24" t="s">
        <v>72</v>
      </c>
      <c r="T11" s="10" t="s">
        <v>78</v>
      </c>
      <c r="W11" s="10" t="s">
        <v>78</v>
      </c>
    </row>
    <row r="12" spans="1:29" x14ac:dyDescent="0.25">
      <c r="D12" s="24" t="s">
        <v>79</v>
      </c>
      <c r="E12" s="24" t="s">
        <v>80</v>
      </c>
      <c r="F12" s="27">
        <v>2220</v>
      </c>
      <c r="G12" s="27">
        <v>0</v>
      </c>
      <c r="H12" s="27">
        <v>0</v>
      </c>
      <c r="I12" s="27">
        <v>0</v>
      </c>
      <c r="J12" s="27">
        <v>2220</v>
      </c>
      <c r="K12" s="27">
        <v>0</v>
      </c>
      <c r="L12" s="27">
        <v>0</v>
      </c>
      <c r="M12" s="27">
        <v>0</v>
      </c>
      <c r="N12" s="27">
        <v>0</v>
      </c>
      <c r="O12" s="27">
        <v>2220</v>
      </c>
      <c r="P12" s="27">
        <v>0</v>
      </c>
      <c r="Q12" s="24" t="s">
        <v>39</v>
      </c>
      <c r="R12" s="24" t="s">
        <v>72</v>
      </c>
      <c r="T12" s="10" t="s">
        <v>57</v>
      </c>
      <c r="U12" s="26">
        <v>0</v>
      </c>
      <c r="W12" s="10" t="s">
        <v>57</v>
      </c>
      <c r="X12" s="26">
        <v>1250</v>
      </c>
    </row>
    <row r="13" spans="1:29" x14ac:dyDescent="0.25">
      <c r="D13" s="25" t="s">
        <v>30</v>
      </c>
      <c r="E13" s="25"/>
      <c r="F13" s="28">
        <f t="shared" ref="F13:P13" si="0">SUM(F10:F12)</f>
        <v>18690</v>
      </c>
      <c r="G13" s="28">
        <f t="shared" si="0"/>
        <v>0</v>
      </c>
      <c r="H13" s="28">
        <f t="shared" si="0"/>
        <v>0</v>
      </c>
      <c r="I13" s="28">
        <f t="shared" si="0"/>
        <v>0</v>
      </c>
      <c r="J13" s="28">
        <f t="shared" si="0"/>
        <v>18690</v>
      </c>
      <c r="K13" s="28">
        <f t="shared" si="0"/>
        <v>16470</v>
      </c>
      <c r="L13" s="28">
        <f t="shared" si="0"/>
        <v>0</v>
      </c>
      <c r="M13" s="28">
        <f t="shared" si="0"/>
        <v>3786.67</v>
      </c>
      <c r="N13" s="28">
        <f t="shared" si="0"/>
        <v>2536.67</v>
      </c>
      <c r="O13" s="28">
        <f t="shared" si="0"/>
        <v>7220</v>
      </c>
      <c r="P13" s="28">
        <f t="shared" si="0"/>
        <v>0</v>
      </c>
      <c r="Q13" s="25"/>
      <c r="R13" s="25"/>
      <c r="T13" s="10" t="s">
        <v>81</v>
      </c>
      <c r="U13" s="26">
        <v>0</v>
      </c>
      <c r="W13" s="10" t="s">
        <v>81</v>
      </c>
      <c r="X13" s="26">
        <v>0</v>
      </c>
    </row>
    <row r="14" spans="1:29" x14ac:dyDescent="0.25">
      <c r="T14" s="10" t="s">
        <v>59</v>
      </c>
      <c r="U14" s="26">
        <v>0</v>
      </c>
      <c r="W14" s="10" t="s">
        <v>59</v>
      </c>
      <c r="X14" s="26">
        <v>0</v>
      </c>
    </row>
    <row r="15" spans="1:29" x14ac:dyDescent="0.25">
      <c r="U15" s="26">
        <v>0</v>
      </c>
      <c r="X15" s="26">
        <v>0</v>
      </c>
    </row>
    <row r="16" spans="1:29" x14ac:dyDescent="0.25">
      <c r="T16" s="22" t="s">
        <v>30</v>
      </c>
      <c r="U16" s="29">
        <f>ROUND(U12-U13+U14+U15,2)</f>
        <v>0</v>
      </c>
      <c r="W16" s="22" t="s">
        <v>30</v>
      </c>
      <c r="X16" s="29">
        <f>ROUND(X12-X13+X14+X15,2)</f>
        <v>1250</v>
      </c>
    </row>
    <row r="17" spans="21:24" ht="24" x14ac:dyDescent="0.25">
      <c r="U17" s="20" t="s">
        <v>82</v>
      </c>
      <c r="X17" s="20" t="s">
        <v>83</v>
      </c>
    </row>
    <row r="19" spans="21:24" x14ac:dyDescent="0.25">
      <c r="U19" s="26">
        <v>17440</v>
      </c>
      <c r="X19" s="26">
        <v>18690</v>
      </c>
    </row>
    <row r="20" spans="21:24" x14ac:dyDescent="0.25">
      <c r="U20" s="26">
        <v>0</v>
      </c>
      <c r="X20" s="26">
        <v>0</v>
      </c>
    </row>
    <row r="21" spans="21:24" x14ac:dyDescent="0.25">
      <c r="U21" s="26">
        <v>0</v>
      </c>
      <c r="X21" s="26">
        <v>0</v>
      </c>
    </row>
    <row r="22" spans="21:24" x14ac:dyDescent="0.25">
      <c r="U22" s="26">
        <v>0</v>
      </c>
      <c r="X22" s="26">
        <v>0</v>
      </c>
    </row>
    <row r="23" spans="21:24" x14ac:dyDescent="0.25">
      <c r="U23" s="29">
        <f>ROUND(U19-U20+U21+U22,2)</f>
        <v>17440</v>
      </c>
      <c r="X23" s="29">
        <f>ROUND(X19+X20+X21+X22,2)</f>
        <v>18690</v>
      </c>
    </row>
  </sheetData>
  <mergeCells count="2">
    <mergeCell ref="D5:L5"/>
    <mergeCell ref="D2:L3"/>
  </mergeCells>
  <hyperlinks>
    <hyperlink ref="A1" location="'Table Of Contents'!A1" display="Table Of Contents" xr:uid="{00000000-0004-0000-0200-000000000000}"/>
  </hyperlink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196F3"/>
    <pageSetUpPr fitToPage="1"/>
  </sheetPr>
  <dimension ref="A1:AC19"/>
  <sheetViews>
    <sheetView showGridLines="0" workbookViewId="0">
      <pane xSplit="3" ySplit="9" topLeftCell="D10" activePane="bottomRight" state="frozen"/>
      <selection pane="topRight"/>
      <selection pane="bottomLeft"/>
      <selection pane="bottomRight" activeCell="O15" sqref="O15"/>
    </sheetView>
  </sheetViews>
  <sheetFormatPr defaultRowHeight="15" x14ac:dyDescent="0.25"/>
  <cols>
    <col min="1" max="1" width="14.42578125" customWidth="1"/>
    <col min="2" max="4" width="9.140625" customWidth="1"/>
    <col min="5" max="5" width="14.7109375" customWidth="1"/>
    <col min="6" max="8" width="9.140625" customWidth="1"/>
    <col min="9" max="9" width="10.42578125" bestFit="1" customWidth="1"/>
    <col min="10" max="29" width="9.140625" customWidth="1"/>
  </cols>
  <sheetData>
    <row r="1" spans="1:29" x14ac:dyDescent="0.25">
      <c r="A1" s="23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s="1"/>
      <c r="B2" s="1"/>
      <c r="C2" s="1"/>
      <c r="D2" s="37" t="s">
        <v>0</v>
      </c>
      <c r="E2" s="36"/>
      <c r="F2" s="36"/>
      <c r="G2" s="36"/>
      <c r="H2" s="36"/>
      <c r="I2" s="36"/>
      <c r="J2" s="36"/>
      <c r="K2" s="36"/>
      <c r="L2" s="3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1"/>
      <c r="B3" s="1"/>
      <c r="C3" s="1"/>
      <c r="D3" s="36"/>
      <c r="E3" s="36"/>
      <c r="F3" s="36"/>
      <c r="G3" s="36"/>
      <c r="H3" s="36"/>
      <c r="I3" s="36"/>
      <c r="J3" s="36"/>
      <c r="K3" s="36"/>
      <c r="L3" s="3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6.5" customHeight="1" x14ac:dyDescent="0.25">
      <c r="D5" s="35" t="s">
        <v>10</v>
      </c>
      <c r="E5" s="36"/>
      <c r="F5" s="36"/>
      <c r="G5" s="36"/>
      <c r="H5" s="36"/>
      <c r="I5" s="36"/>
      <c r="J5" s="36"/>
      <c r="K5" s="36"/>
      <c r="L5" s="36"/>
    </row>
    <row r="6" spans="1:29" x14ac:dyDescent="0.25">
      <c r="D6" s="2"/>
    </row>
    <row r="7" spans="1:29" ht="3" customHeight="1" x14ac:dyDescent="0.25"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9" spans="1:29" ht="27.95" customHeight="1" x14ac:dyDescent="0.25">
      <c r="D9" s="19" t="s">
        <v>84</v>
      </c>
      <c r="E9" s="19" t="s">
        <v>85</v>
      </c>
      <c r="F9" s="19" t="s">
        <v>86</v>
      </c>
      <c r="G9" s="19" t="s">
        <v>87</v>
      </c>
      <c r="H9" s="19" t="s">
        <v>88</v>
      </c>
      <c r="I9" s="19" t="s">
        <v>89</v>
      </c>
    </row>
    <row r="10" spans="1:29" x14ac:dyDescent="0.25">
      <c r="D10" s="24" t="s">
        <v>38</v>
      </c>
      <c r="E10" s="24" t="s">
        <v>90</v>
      </c>
      <c r="F10" s="27">
        <v>5</v>
      </c>
      <c r="G10" s="24" t="s">
        <v>91</v>
      </c>
      <c r="H10" s="27">
        <v>560</v>
      </c>
      <c r="I10" s="27">
        <v>2800</v>
      </c>
    </row>
    <row r="11" spans="1:29" x14ac:dyDescent="0.25">
      <c r="D11" s="24" t="s">
        <v>40</v>
      </c>
      <c r="E11" s="24" t="s">
        <v>92</v>
      </c>
      <c r="F11" s="27">
        <v>1</v>
      </c>
      <c r="G11" s="24" t="s">
        <v>93</v>
      </c>
      <c r="H11" s="27">
        <v>600</v>
      </c>
      <c r="I11" s="27">
        <v>600</v>
      </c>
    </row>
    <row r="12" spans="1:29" x14ac:dyDescent="0.25">
      <c r="D12" s="24" t="s">
        <v>40</v>
      </c>
      <c r="E12" s="24" t="s">
        <v>94</v>
      </c>
      <c r="F12" s="27">
        <v>1</v>
      </c>
      <c r="G12" s="24" t="s">
        <v>95</v>
      </c>
      <c r="H12" s="27">
        <v>650</v>
      </c>
      <c r="I12" s="27">
        <v>650</v>
      </c>
    </row>
    <row r="13" spans="1:29" x14ac:dyDescent="0.25">
      <c r="D13" s="24" t="s">
        <v>40</v>
      </c>
      <c r="E13" s="24" t="s">
        <v>96</v>
      </c>
      <c r="F13" s="27">
        <v>5</v>
      </c>
      <c r="G13" s="24" t="s">
        <v>95</v>
      </c>
      <c r="H13" s="27">
        <v>650</v>
      </c>
      <c r="I13" s="27">
        <v>3250</v>
      </c>
    </row>
    <row r="14" spans="1:29" x14ac:dyDescent="0.25">
      <c r="D14" s="24" t="s">
        <v>40</v>
      </c>
      <c r="E14" s="24" t="s">
        <v>97</v>
      </c>
      <c r="F14" s="27">
        <v>2</v>
      </c>
      <c r="G14" s="24" t="s">
        <v>95</v>
      </c>
      <c r="H14" s="27">
        <v>650</v>
      </c>
      <c r="I14" s="27">
        <v>1300</v>
      </c>
    </row>
    <row r="15" spans="1:29" x14ac:dyDescent="0.25">
      <c r="D15" s="24" t="s">
        <v>42</v>
      </c>
      <c r="E15" s="24" t="s">
        <v>98</v>
      </c>
      <c r="F15" s="27">
        <v>8</v>
      </c>
      <c r="G15" s="24" t="s">
        <v>93</v>
      </c>
      <c r="H15" s="27">
        <v>650</v>
      </c>
      <c r="I15" s="27">
        <v>5200</v>
      </c>
    </row>
    <row r="16" spans="1:29" x14ac:dyDescent="0.25">
      <c r="D16" s="24" t="s">
        <v>42</v>
      </c>
      <c r="E16" s="24" t="s">
        <v>99</v>
      </c>
      <c r="F16" s="27">
        <v>1</v>
      </c>
      <c r="G16" s="24" t="s">
        <v>91</v>
      </c>
      <c r="H16" s="27">
        <v>450</v>
      </c>
      <c r="I16" s="27">
        <v>450</v>
      </c>
    </row>
    <row r="17" spans="4:9" x14ac:dyDescent="0.25">
      <c r="D17" s="24" t="s">
        <v>44</v>
      </c>
      <c r="E17" s="24" t="s">
        <v>100</v>
      </c>
      <c r="F17" s="27">
        <v>1</v>
      </c>
      <c r="G17" s="24" t="s">
        <v>101</v>
      </c>
      <c r="H17" s="27">
        <v>2220</v>
      </c>
      <c r="I17" s="27">
        <v>2220</v>
      </c>
    </row>
    <row r="18" spans="4:9" x14ac:dyDescent="0.25">
      <c r="D18" s="24" t="s">
        <v>44</v>
      </c>
      <c r="E18" s="24" t="s">
        <v>102</v>
      </c>
      <c r="F18" s="27">
        <v>1</v>
      </c>
      <c r="G18" s="24" t="s">
        <v>103</v>
      </c>
      <c r="H18" s="27">
        <v>2220</v>
      </c>
      <c r="I18" s="27">
        <v>2220</v>
      </c>
    </row>
    <row r="19" spans="4:9" x14ac:dyDescent="0.25">
      <c r="D19" s="25" t="s">
        <v>30</v>
      </c>
      <c r="E19" s="25"/>
      <c r="F19" s="28">
        <f>SUM(F10:F18)</f>
        <v>25</v>
      </c>
      <c r="G19" s="25"/>
      <c r="H19" s="25"/>
      <c r="I19" s="28">
        <f>SUM(I10:I18)</f>
        <v>18690</v>
      </c>
    </row>
  </sheetData>
  <mergeCells count="2">
    <mergeCell ref="D5:L5"/>
    <mergeCell ref="D2:L3"/>
  </mergeCells>
  <hyperlinks>
    <hyperlink ref="A1" location="'Table Of Contents'!A1" display="Table Of Contents" xr:uid="{00000000-0004-0000-0300-000000000000}"/>
  </hyperlinks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44AD"/>
    <pageSetUpPr fitToPage="1"/>
  </sheetPr>
  <dimension ref="A1:AC12"/>
  <sheetViews>
    <sheetView showGridLines="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4.42578125" customWidth="1"/>
    <col min="2" max="3" width="9.140625" customWidth="1"/>
    <col min="4" max="4" width="15.42578125" bestFit="1" customWidth="1"/>
    <col min="5" max="7" width="9.140625" customWidth="1"/>
    <col min="8" max="8" width="9.5703125" customWidth="1"/>
    <col min="9" max="10" width="9.140625" customWidth="1"/>
    <col min="11" max="11" width="8.7109375" bestFit="1" customWidth="1"/>
    <col min="12" max="29" width="9.140625" customWidth="1"/>
  </cols>
  <sheetData>
    <row r="1" spans="1:29" x14ac:dyDescent="0.25">
      <c r="A1" s="23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s="1"/>
      <c r="B2" s="1"/>
      <c r="C2" s="1"/>
      <c r="D2" s="37" t="s">
        <v>0</v>
      </c>
      <c r="E2" s="36"/>
      <c r="F2" s="36"/>
      <c r="G2" s="36"/>
      <c r="H2" s="36"/>
      <c r="I2" s="36"/>
      <c r="J2" s="36"/>
      <c r="K2" s="36"/>
      <c r="L2" s="3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1"/>
      <c r="B3" s="1"/>
      <c r="C3" s="1"/>
      <c r="D3" s="36"/>
      <c r="E3" s="36"/>
      <c r="F3" s="36"/>
      <c r="G3" s="36"/>
      <c r="H3" s="36"/>
      <c r="I3" s="36"/>
      <c r="J3" s="36"/>
      <c r="K3" s="36"/>
      <c r="L3" s="3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6.5" customHeight="1" x14ac:dyDescent="0.25">
      <c r="D5" s="35" t="s">
        <v>12</v>
      </c>
      <c r="E5" s="36"/>
      <c r="F5" s="36"/>
      <c r="G5" s="36"/>
      <c r="H5" s="36"/>
      <c r="I5" s="36"/>
      <c r="J5" s="36"/>
      <c r="K5" s="36"/>
      <c r="L5" s="36"/>
    </row>
    <row r="6" spans="1:29" x14ac:dyDescent="0.25">
      <c r="D6" s="2"/>
    </row>
    <row r="7" spans="1:29" ht="3" customHeight="1" x14ac:dyDescent="0.25"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9" spans="1:29" ht="27.95" customHeight="1" x14ac:dyDescent="0.25">
      <c r="D9" s="19" t="s">
        <v>104</v>
      </c>
      <c r="E9" s="19" t="s">
        <v>54</v>
      </c>
      <c r="F9" s="19" t="s">
        <v>105</v>
      </c>
      <c r="G9" s="19" t="s">
        <v>106</v>
      </c>
      <c r="H9" s="19" t="s">
        <v>31</v>
      </c>
      <c r="I9" s="19" t="s">
        <v>107</v>
      </c>
      <c r="J9" s="19" t="s">
        <v>108</v>
      </c>
      <c r="K9" s="19" t="s">
        <v>109</v>
      </c>
      <c r="L9" s="19" t="s">
        <v>32</v>
      </c>
    </row>
    <row r="10" spans="1:29" x14ac:dyDescent="0.25">
      <c r="D10" s="24" t="s">
        <v>110</v>
      </c>
      <c r="E10" s="24" t="s">
        <v>35</v>
      </c>
      <c r="F10" s="24"/>
      <c r="G10" s="24"/>
      <c r="H10" s="24" t="s">
        <v>37</v>
      </c>
      <c r="I10" s="24" t="s">
        <v>111</v>
      </c>
      <c r="J10" s="24" t="s">
        <v>72</v>
      </c>
      <c r="K10" s="24" t="s">
        <v>112</v>
      </c>
      <c r="L10" s="27">
        <v>5000</v>
      </c>
    </row>
    <row r="11" spans="1:29" x14ac:dyDescent="0.25">
      <c r="D11" s="24" t="s">
        <v>110</v>
      </c>
      <c r="E11" s="24" t="s">
        <v>35</v>
      </c>
      <c r="F11" s="24"/>
      <c r="G11" s="24"/>
      <c r="H11" s="24" t="s">
        <v>37</v>
      </c>
      <c r="I11" s="24" t="s">
        <v>111</v>
      </c>
      <c r="J11" s="24" t="s">
        <v>72</v>
      </c>
      <c r="K11" s="24" t="s">
        <v>113</v>
      </c>
      <c r="L11" s="27">
        <v>2220</v>
      </c>
    </row>
    <row r="12" spans="1:29" x14ac:dyDescent="0.25">
      <c r="D12" s="25" t="s">
        <v>30</v>
      </c>
      <c r="E12" s="25"/>
      <c r="F12" s="25"/>
      <c r="G12" s="25"/>
      <c r="H12" s="25"/>
      <c r="I12" s="25"/>
      <c r="J12" s="25"/>
      <c r="K12" s="25"/>
      <c r="L12" s="28">
        <f>SUM(L10:L11)</f>
        <v>7220</v>
      </c>
    </row>
  </sheetData>
  <mergeCells count="2">
    <mergeCell ref="D5:L5"/>
    <mergeCell ref="D2:L3"/>
  </mergeCells>
  <hyperlinks>
    <hyperlink ref="A1" location="'Table Of Contents'!A1" display="Table Of Contents" xr:uid="{00000000-0004-0000-0400-000000000000}"/>
  </hyperlinks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E44AD"/>
    <pageSetUpPr fitToPage="1"/>
  </sheetPr>
  <dimension ref="A1:AC11"/>
  <sheetViews>
    <sheetView showGridLines="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4.42578125" customWidth="1"/>
    <col min="2" max="3" width="9.140625" customWidth="1"/>
    <col min="4" max="4" width="14.7109375" customWidth="1"/>
    <col min="5" max="7" width="9.140625" customWidth="1"/>
    <col min="8" max="8" width="9.5703125" customWidth="1"/>
    <col min="9" max="29" width="9.140625" customWidth="1"/>
  </cols>
  <sheetData>
    <row r="1" spans="1:29" x14ac:dyDescent="0.25">
      <c r="A1" s="23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s="1"/>
      <c r="B2" s="1"/>
      <c r="C2" s="1"/>
      <c r="D2" s="37" t="s">
        <v>0</v>
      </c>
      <c r="E2" s="36"/>
      <c r="F2" s="36"/>
      <c r="G2" s="36"/>
      <c r="H2" s="36"/>
      <c r="I2" s="36"/>
      <c r="J2" s="36"/>
      <c r="K2" s="36"/>
      <c r="L2" s="3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1"/>
      <c r="B3" s="1"/>
      <c r="C3" s="1"/>
      <c r="D3" s="36"/>
      <c r="E3" s="36"/>
      <c r="F3" s="36"/>
      <c r="G3" s="36"/>
      <c r="H3" s="36"/>
      <c r="I3" s="36"/>
      <c r="J3" s="36"/>
      <c r="K3" s="36"/>
      <c r="L3" s="3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6.5" customHeight="1" x14ac:dyDescent="0.25">
      <c r="D5" s="35" t="s">
        <v>14</v>
      </c>
      <c r="E5" s="36"/>
      <c r="F5" s="36"/>
      <c r="G5" s="36"/>
      <c r="H5" s="36"/>
      <c r="I5" s="36"/>
      <c r="J5" s="36"/>
      <c r="K5" s="36"/>
      <c r="L5" s="36"/>
    </row>
    <row r="6" spans="1:29" x14ac:dyDescent="0.25">
      <c r="D6" s="2"/>
    </row>
    <row r="7" spans="1:29" ht="3" customHeight="1" x14ac:dyDescent="0.25"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9" spans="1:29" ht="27.95" customHeight="1" x14ac:dyDescent="0.25">
      <c r="D9" s="19" t="s">
        <v>104</v>
      </c>
      <c r="E9" s="19" t="s">
        <v>54</v>
      </c>
      <c r="F9" s="19" t="s">
        <v>105</v>
      </c>
      <c r="G9" s="19" t="s">
        <v>106</v>
      </c>
      <c r="H9" s="19" t="s">
        <v>31</v>
      </c>
      <c r="I9" s="19" t="s">
        <v>107</v>
      </c>
      <c r="J9" s="19" t="s">
        <v>108</v>
      </c>
      <c r="K9" s="19" t="s">
        <v>109</v>
      </c>
      <c r="L9" s="19" t="s">
        <v>32</v>
      </c>
    </row>
    <row r="10" spans="1:29" x14ac:dyDescent="0.25">
      <c r="D10" s="24" t="s">
        <v>110</v>
      </c>
      <c r="E10" s="24" t="s">
        <v>35</v>
      </c>
      <c r="F10" s="24"/>
      <c r="G10" s="24"/>
      <c r="H10" s="24" t="s">
        <v>37</v>
      </c>
      <c r="I10" s="24" t="s">
        <v>114</v>
      </c>
      <c r="J10" s="24"/>
      <c r="K10" s="24" t="s">
        <v>72</v>
      </c>
      <c r="L10" s="27">
        <v>2536.67</v>
      </c>
    </row>
    <row r="11" spans="1:29" x14ac:dyDescent="0.25">
      <c r="D11" s="25" t="s">
        <v>30</v>
      </c>
      <c r="E11" s="25"/>
      <c r="F11" s="25"/>
      <c r="G11" s="25"/>
      <c r="H11" s="25"/>
      <c r="I11" s="25"/>
      <c r="J11" s="25"/>
      <c r="K11" s="25"/>
      <c r="L11" s="27">
        <f>SUM(L10:L10)</f>
        <v>2536.67</v>
      </c>
    </row>
  </sheetData>
  <mergeCells count="2">
    <mergeCell ref="D5:L5"/>
    <mergeCell ref="D2:L3"/>
  </mergeCells>
  <hyperlinks>
    <hyperlink ref="A1" location="'Table Of Contents'!A1" display="Table Of Contents" xr:uid="{00000000-0004-0000-0500-000000000000}"/>
  </hyperlinks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67E22"/>
    <pageSetUpPr fitToPage="1"/>
  </sheetPr>
  <dimension ref="A1:AC10"/>
  <sheetViews>
    <sheetView showGridLines="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4.42578125" customWidth="1"/>
    <col min="2" max="29" width="9.140625" customWidth="1"/>
  </cols>
  <sheetData>
    <row r="1" spans="1:29" x14ac:dyDescent="0.25">
      <c r="A1" s="23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s="1"/>
      <c r="B2" s="1"/>
      <c r="C2" s="1"/>
      <c r="D2" s="37" t="s">
        <v>0</v>
      </c>
      <c r="E2" s="36"/>
      <c r="F2" s="36"/>
      <c r="G2" s="36"/>
      <c r="H2" s="36"/>
      <c r="I2" s="36"/>
      <c r="J2" s="36"/>
      <c r="K2" s="36"/>
      <c r="L2" s="3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1"/>
      <c r="B3" s="1"/>
      <c r="C3" s="1"/>
      <c r="D3" s="36"/>
      <c r="E3" s="36"/>
      <c r="F3" s="36"/>
      <c r="G3" s="36"/>
      <c r="H3" s="36"/>
      <c r="I3" s="36"/>
      <c r="J3" s="36"/>
      <c r="K3" s="36"/>
      <c r="L3" s="3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6.5" customHeight="1" x14ac:dyDescent="0.25">
      <c r="D5" s="35" t="s">
        <v>16</v>
      </c>
      <c r="E5" s="36"/>
      <c r="F5" s="36"/>
      <c r="G5" s="36"/>
      <c r="H5" s="36"/>
      <c r="I5" s="36"/>
      <c r="J5" s="36"/>
      <c r="K5" s="36"/>
      <c r="L5" s="36"/>
    </row>
    <row r="6" spans="1:29" x14ac:dyDescent="0.25">
      <c r="D6" s="2"/>
    </row>
    <row r="7" spans="1:29" ht="3" customHeight="1" x14ac:dyDescent="0.25"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9" spans="1:29" ht="27.95" customHeight="1" x14ac:dyDescent="0.25">
      <c r="D9" s="19" t="s">
        <v>115</v>
      </c>
      <c r="E9" s="19" t="s">
        <v>68</v>
      </c>
      <c r="F9" s="19" t="s">
        <v>67</v>
      </c>
      <c r="G9" s="19" t="s">
        <v>32</v>
      </c>
      <c r="H9" s="19" t="s">
        <v>116</v>
      </c>
    </row>
    <row r="10" spans="1:29" x14ac:dyDescent="0.25">
      <c r="D10" s="25"/>
      <c r="E10" s="25"/>
      <c r="F10" s="25"/>
      <c r="G10" s="25"/>
      <c r="H10" s="25"/>
    </row>
  </sheetData>
  <mergeCells count="2">
    <mergeCell ref="D5:L5"/>
    <mergeCell ref="D2:L3"/>
  </mergeCells>
  <hyperlinks>
    <hyperlink ref="A1" location="'Table Of Contents'!A1" display="Table Of Contents" xr:uid="{00000000-0004-0000-0600-000000000000}"/>
  </hyperlinks>
  <pageMargins left="0.75" right="0.75" top="1" bottom="1" header="0.5" footer="0.5"/>
  <pageSetup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74C3C"/>
    <pageSetUpPr fitToPage="1"/>
  </sheetPr>
  <dimension ref="A1:AC10"/>
  <sheetViews>
    <sheetView showGridLines="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4.42578125" customWidth="1"/>
    <col min="2" max="29" width="9.140625" customWidth="1"/>
  </cols>
  <sheetData>
    <row r="1" spans="1:29" x14ac:dyDescent="0.25">
      <c r="A1" s="23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s="1"/>
      <c r="B2" s="1"/>
      <c r="C2" s="1"/>
      <c r="D2" s="37" t="s">
        <v>0</v>
      </c>
      <c r="E2" s="36"/>
      <c r="F2" s="36"/>
      <c r="G2" s="36"/>
      <c r="H2" s="36"/>
      <c r="I2" s="36"/>
      <c r="J2" s="36"/>
      <c r="K2" s="36"/>
      <c r="L2" s="3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1"/>
      <c r="B3" s="1"/>
      <c r="C3" s="1"/>
      <c r="D3" s="36"/>
      <c r="E3" s="36"/>
      <c r="F3" s="36"/>
      <c r="G3" s="36"/>
      <c r="H3" s="36"/>
      <c r="I3" s="36"/>
      <c r="J3" s="36"/>
      <c r="K3" s="36"/>
      <c r="L3" s="3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6.5" customHeight="1" x14ac:dyDescent="0.25">
      <c r="D5" s="35" t="s">
        <v>18</v>
      </c>
      <c r="E5" s="36"/>
      <c r="F5" s="36"/>
      <c r="G5" s="36"/>
      <c r="H5" s="36"/>
      <c r="I5" s="36"/>
      <c r="J5" s="36"/>
      <c r="K5" s="36"/>
      <c r="L5" s="36"/>
    </row>
    <row r="6" spans="1:29" x14ac:dyDescent="0.25">
      <c r="D6" s="2"/>
    </row>
    <row r="7" spans="1:29" ht="3" customHeight="1" x14ac:dyDescent="0.25"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9" spans="1:29" ht="27.95" customHeight="1" x14ac:dyDescent="0.25">
      <c r="D9" s="19" t="s">
        <v>117</v>
      </c>
      <c r="E9" s="19" t="s">
        <v>118</v>
      </c>
      <c r="F9" s="19" t="s">
        <v>119</v>
      </c>
      <c r="G9" s="19" t="s">
        <v>120</v>
      </c>
      <c r="H9" s="19" t="s">
        <v>85</v>
      </c>
      <c r="I9" s="19" t="s">
        <v>86</v>
      </c>
      <c r="J9" s="19" t="s">
        <v>87</v>
      </c>
      <c r="K9" s="19" t="s">
        <v>121</v>
      </c>
      <c r="L9" s="19" t="s">
        <v>122</v>
      </c>
      <c r="M9" s="19" t="s">
        <v>32</v>
      </c>
      <c r="N9" s="19" t="s">
        <v>123</v>
      </c>
      <c r="O9" s="19" t="s">
        <v>124</v>
      </c>
      <c r="P9" s="19" t="s">
        <v>115</v>
      </c>
    </row>
    <row r="10" spans="1:29" x14ac:dyDescent="0.25"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</sheetData>
  <mergeCells count="2">
    <mergeCell ref="D5:L5"/>
    <mergeCell ref="D2:L3"/>
  </mergeCells>
  <hyperlinks>
    <hyperlink ref="A1" location="'Table Of Contents'!A1" display="Table Of Contents" xr:uid="{00000000-0004-0000-0700-000000000000}"/>
  </hyperlinks>
  <pageMargins left="0.75" right="0.75" top="1" bottom="1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6A085"/>
    <pageSetUpPr fitToPage="1"/>
  </sheetPr>
  <dimension ref="A1:AC10"/>
  <sheetViews>
    <sheetView showGridLines="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4.42578125" customWidth="1"/>
    <col min="2" max="29" width="9.140625" customWidth="1"/>
  </cols>
  <sheetData>
    <row r="1" spans="1:29" x14ac:dyDescent="0.25">
      <c r="A1" s="23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s="1"/>
      <c r="B2" s="1"/>
      <c r="C2" s="1"/>
      <c r="D2" s="37" t="s">
        <v>0</v>
      </c>
      <c r="E2" s="36"/>
      <c r="F2" s="36"/>
      <c r="G2" s="36"/>
      <c r="H2" s="36"/>
      <c r="I2" s="36"/>
      <c r="J2" s="36"/>
      <c r="K2" s="36"/>
      <c r="L2" s="3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1"/>
      <c r="B3" s="1"/>
      <c r="C3" s="1"/>
      <c r="D3" s="36"/>
      <c r="E3" s="36"/>
      <c r="F3" s="36"/>
      <c r="G3" s="36"/>
      <c r="H3" s="36"/>
      <c r="I3" s="36"/>
      <c r="J3" s="36"/>
      <c r="K3" s="36"/>
      <c r="L3" s="3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6.5" customHeight="1" x14ac:dyDescent="0.25">
      <c r="D5" s="35" t="s">
        <v>20</v>
      </c>
      <c r="E5" s="36"/>
      <c r="F5" s="36"/>
      <c r="G5" s="36"/>
      <c r="H5" s="36"/>
      <c r="I5" s="36"/>
      <c r="J5" s="36"/>
      <c r="K5" s="36"/>
      <c r="L5" s="36"/>
    </row>
    <row r="6" spans="1:29" x14ac:dyDescent="0.25">
      <c r="D6" s="2"/>
    </row>
    <row r="7" spans="1:29" ht="3" customHeight="1" x14ac:dyDescent="0.25"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9" spans="1:29" ht="27.95" customHeight="1" x14ac:dyDescent="0.25">
      <c r="D9" s="19" t="s">
        <v>85</v>
      </c>
      <c r="E9" s="19" t="s">
        <v>27</v>
      </c>
      <c r="F9" s="19" t="s">
        <v>125</v>
      </c>
      <c r="G9" s="19" t="s">
        <v>126</v>
      </c>
      <c r="H9" s="19" t="s">
        <v>53</v>
      </c>
      <c r="I9" s="19" t="s">
        <v>87</v>
      </c>
    </row>
    <row r="10" spans="1:29" x14ac:dyDescent="0.25">
      <c r="D10" s="24"/>
      <c r="E10" s="24"/>
      <c r="F10" s="24"/>
      <c r="G10" s="24"/>
      <c r="H10" s="24"/>
      <c r="I10" s="24"/>
    </row>
  </sheetData>
  <mergeCells count="2">
    <mergeCell ref="D5:L5"/>
    <mergeCell ref="D2:L3"/>
  </mergeCells>
  <hyperlinks>
    <hyperlink ref="A1" location="'Table Of Contents'!A1" display="Table Of Contents" xr:uid="{00000000-0004-0000-0800-000000000000}"/>
  </hyperlinks>
  <pageMargins left="0.75" right="0.75" top="1" bottom="1" header="0.5" footer="0.5"/>
  <pageSetup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C3E50"/>
    <pageSetUpPr fitToPage="1"/>
  </sheetPr>
  <dimension ref="A1:AC10"/>
  <sheetViews>
    <sheetView showGridLines="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4.42578125" customWidth="1"/>
    <col min="2" max="29" width="9.140625" customWidth="1"/>
  </cols>
  <sheetData>
    <row r="1" spans="1:29" x14ac:dyDescent="0.25">
      <c r="A1" s="23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s="1"/>
      <c r="B2" s="1"/>
      <c r="C2" s="1"/>
      <c r="D2" s="37" t="s">
        <v>0</v>
      </c>
      <c r="E2" s="36"/>
      <c r="F2" s="36"/>
      <c r="G2" s="36"/>
      <c r="H2" s="36"/>
      <c r="I2" s="36"/>
      <c r="J2" s="36"/>
      <c r="K2" s="36"/>
      <c r="L2" s="3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1"/>
      <c r="B3" s="1"/>
      <c r="C3" s="1"/>
      <c r="D3" s="36"/>
      <c r="E3" s="36"/>
      <c r="F3" s="36"/>
      <c r="G3" s="36"/>
      <c r="H3" s="36"/>
      <c r="I3" s="36"/>
      <c r="J3" s="36"/>
      <c r="K3" s="36"/>
      <c r="L3" s="3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6.5" customHeight="1" x14ac:dyDescent="0.25">
      <c r="D5" s="35" t="s">
        <v>22</v>
      </c>
      <c r="E5" s="36"/>
      <c r="F5" s="36"/>
      <c r="G5" s="36"/>
      <c r="H5" s="36"/>
      <c r="I5" s="36"/>
      <c r="J5" s="36"/>
      <c r="K5" s="36"/>
      <c r="L5" s="36"/>
    </row>
    <row r="6" spans="1:29" x14ac:dyDescent="0.25">
      <c r="D6" s="2"/>
    </row>
    <row r="7" spans="1:29" ht="3" customHeight="1" x14ac:dyDescent="0.25"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9" spans="1:29" ht="27.95" customHeight="1" x14ac:dyDescent="0.25">
      <c r="D9" s="19" t="s">
        <v>127</v>
      </c>
      <c r="E9" s="19" t="s">
        <v>128</v>
      </c>
      <c r="F9" s="19" t="s">
        <v>129</v>
      </c>
      <c r="G9" s="19" t="s">
        <v>120</v>
      </c>
      <c r="H9" s="19" t="s">
        <v>130</v>
      </c>
      <c r="I9" s="19" t="s">
        <v>131</v>
      </c>
      <c r="J9" s="19" t="s">
        <v>132</v>
      </c>
      <c r="K9" s="19" t="s">
        <v>133</v>
      </c>
    </row>
    <row r="10" spans="1:29" x14ac:dyDescent="0.25">
      <c r="D10" s="24"/>
      <c r="E10" s="24"/>
      <c r="F10" s="24"/>
      <c r="G10" s="24"/>
      <c r="H10" s="24"/>
      <c r="I10" s="24"/>
      <c r="J10" s="24"/>
      <c r="K10" s="24"/>
    </row>
  </sheetData>
  <mergeCells count="2">
    <mergeCell ref="D5:L5"/>
    <mergeCell ref="D2:L3"/>
  </mergeCells>
  <hyperlinks>
    <hyperlink ref="A1" location="'Table Of Contents'!A1" display="Table Of Contents" xr:uid="{00000000-0004-0000-0900-000000000000}"/>
  </hyperlinks>
  <pageMargins left="0.75" right="0.75" top="1" bottom="1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C3E50"/>
    <pageSetUpPr fitToPage="1"/>
  </sheetPr>
  <dimension ref="A1:AC10"/>
  <sheetViews>
    <sheetView showGridLines="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4.42578125" customWidth="1"/>
    <col min="2" max="29" width="9.140625" customWidth="1"/>
  </cols>
  <sheetData>
    <row r="1" spans="1:29" x14ac:dyDescent="0.25">
      <c r="A1" s="23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s="1"/>
      <c r="B2" s="1"/>
      <c r="C2" s="1"/>
      <c r="D2" s="37" t="s">
        <v>0</v>
      </c>
      <c r="E2" s="36"/>
      <c r="F2" s="36"/>
      <c r="G2" s="36"/>
      <c r="H2" s="36"/>
      <c r="I2" s="36"/>
      <c r="J2" s="36"/>
      <c r="K2" s="36"/>
      <c r="L2" s="3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1"/>
      <c r="B3" s="1"/>
      <c r="C3" s="1"/>
      <c r="D3" s="36"/>
      <c r="E3" s="36"/>
      <c r="F3" s="36"/>
      <c r="G3" s="36"/>
      <c r="H3" s="36"/>
      <c r="I3" s="36"/>
      <c r="J3" s="36"/>
      <c r="K3" s="36"/>
      <c r="L3" s="3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6.5" customHeight="1" x14ac:dyDescent="0.25">
      <c r="D5" s="35" t="s">
        <v>24</v>
      </c>
      <c r="E5" s="36"/>
      <c r="F5" s="36"/>
      <c r="G5" s="36"/>
      <c r="H5" s="36"/>
      <c r="I5" s="36"/>
      <c r="J5" s="36"/>
      <c r="K5" s="36"/>
      <c r="L5" s="36"/>
    </row>
    <row r="6" spans="1:29" x14ac:dyDescent="0.25">
      <c r="D6" s="2"/>
    </row>
    <row r="7" spans="1:29" ht="3" customHeight="1" x14ac:dyDescent="0.25"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9" spans="1:29" ht="27.95" customHeight="1" x14ac:dyDescent="0.25">
      <c r="D9" s="19" t="s">
        <v>127</v>
      </c>
      <c r="E9" s="19" t="s">
        <v>128</v>
      </c>
      <c r="F9" s="19" t="s">
        <v>129</v>
      </c>
      <c r="G9" s="19" t="s">
        <v>120</v>
      </c>
      <c r="H9" s="19" t="s">
        <v>130</v>
      </c>
      <c r="I9" s="19" t="s">
        <v>131</v>
      </c>
      <c r="J9" s="19" t="s">
        <v>132</v>
      </c>
      <c r="K9" s="19" t="s">
        <v>133</v>
      </c>
    </row>
    <row r="10" spans="1:29" x14ac:dyDescent="0.25">
      <c r="D10" s="24"/>
      <c r="E10" s="24"/>
      <c r="F10" s="24"/>
      <c r="G10" s="24"/>
      <c r="H10" s="24"/>
      <c r="I10" s="24"/>
      <c r="J10" s="24"/>
      <c r="K10" s="24"/>
    </row>
  </sheetData>
  <mergeCells count="2">
    <mergeCell ref="D5:L5"/>
    <mergeCell ref="D2:L3"/>
  </mergeCells>
  <hyperlinks>
    <hyperlink ref="A1" location="'Table Of Contents'!A1" display="Table Of Contents" xr:uid="{00000000-0004-0000-0A00-000000000000}"/>
  </hyperlink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Table Of Contents</vt:lpstr>
      <vt:lpstr>Summary</vt:lpstr>
      <vt:lpstr>Daily Sales Report</vt:lpstr>
      <vt:lpstr>Item Sales Report</vt:lpstr>
      <vt:lpstr>Card Transactions</vt:lpstr>
      <vt:lpstr>Cheque Transactions</vt:lpstr>
      <vt:lpstr>Credit Collection</vt:lpstr>
      <vt:lpstr>Daily Purchase Report</vt:lpstr>
      <vt:lpstr>Daily Stock Report</vt:lpstr>
      <vt:lpstr>Customers</vt:lpstr>
      <vt:lpstr>Vendors</vt:lpstr>
      <vt:lpstr>'Card Transactions'!Print_Titles</vt:lpstr>
      <vt:lpstr>'Cheque Transactions'!Print_Titles</vt:lpstr>
      <vt:lpstr>'Credit Collection'!Print_Titles</vt:lpstr>
      <vt:lpstr>Customers!Print_Titles</vt:lpstr>
      <vt:lpstr>'Daily Purchase Report'!Print_Titles</vt:lpstr>
      <vt:lpstr>'Daily Sales Report'!Print_Titles</vt:lpstr>
      <vt:lpstr>'Daily Stock Report'!Print_Titles</vt:lpstr>
      <vt:lpstr>'Item Sales Report'!Print_Titles</vt:lpstr>
      <vt:lpstr>Summary!Print_Titles</vt:lpstr>
      <vt:lpstr>Vendors!Print_Titles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Ujjwal Thapa</cp:lastModifiedBy>
  <dcterms:created xsi:type="dcterms:W3CDTF">2026-06-22T10:48:48Z</dcterms:created>
  <dcterms:modified xsi:type="dcterms:W3CDTF">2026-06-22T12:12:58Z</dcterms:modified>
</cp:coreProperties>
</file>