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Workspace\Danfe\master\restro_master\SageFrame\Documents\XLSX\"/>
    </mc:Choice>
  </mc:AlternateContent>
  <xr:revisionPtr revIDLastSave="0" documentId="13_ncr:1_{991646CC-7B89-44AE-9989-C588F523CD38}" xr6:coauthVersionLast="47" xr6:coauthVersionMax="47" xr10:uidLastSave="{00000000-0000-0000-0000-000000000000}"/>
  <bookViews>
    <workbookView xWindow="2240" yWindow="2240" windowWidth="21600" windowHeight="12670" tabRatio="940" activeTab="1" xr2:uid="{00000000-000D-0000-FFFF-FFFF00000000}"/>
  </bookViews>
  <sheets>
    <sheet name="Table Of Contents" sheetId="24" r:id="rId1"/>
    <sheet name="Summary" sheetId="31" r:id="rId2"/>
    <sheet name="Daily Purchase Report" sheetId="37" r:id="rId3"/>
    <sheet name="Daily Sales Report" sheetId="14" r:id="rId4"/>
    <sheet name="Card Transactions" sheetId="34" r:id="rId5"/>
    <sheet name="Cheque Transactions" sheetId="35" r:id="rId6"/>
    <sheet name="Credit Collection" sheetId="38" r:id="rId7"/>
    <sheet name="Daily Stock Report" sheetId="30" r:id="rId8"/>
    <sheet name="Customers" sheetId="33" r:id="rId9"/>
    <sheet name="Vendors" sheetId="36" r:id="rId10"/>
  </sheets>
  <definedNames>
    <definedName name="Credit_Transactions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'Table Of Contents'!$A$1:$O$19</definedName>
    <definedName name="Z_E5DA482D_7F1D_4A9C_A628_A26CF4A0B9BB_.wvu.FilterData" localSheetId="0" hidden="1">'Table Of Contents'!#REF!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E5DA482D_7F1D_4A9C_A628_A26CF4A0B9BB_.wvu.FilterData" localSheetId="1" hidden="1">'Summary'!#REF!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E5DA482D_7F1D_4A9C_A628_A26CF4A0B9BB_.wvu.FilterData" localSheetId="2" hidden="1">'Daily Purchase Report'!#REF!</definedName>
    <definedName name="Z_E5DA482D_7F1D_4A9C_A628_A26CF4A0B9BB_.wvu.FilterData" localSheetId="3" hidden="1">'Daily Sales Report'!#REF!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E5DA482D_7F1D_4A9C_A628_A26CF4A0B9BB_.wvu.FilterData" localSheetId="4" hidden="1">'Card Transactions'!#REF!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E5DA482D_7F1D_4A9C_A628_A26CF4A0B9BB_.wvu.FilterData" localSheetId="5" hidden="1">'Cheque Transactions'!#REF!</definedName>
    <definedName name="Credit_Transactions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E5DA482D_7F1D_4A9C_A628_A26CF4A0B9BB_.wvu.FilterData" localSheetId="6" hidden="1">'Credit Collection'!#REF!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E5DA482D_7F1D_4A9C_A628_A26CF4A0B9BB_.wvu.FilterData" localSheetId="7" hidden="1">'Daily Stock Report'!#REF!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E5DA482D_7F1D_4A9C_A628_A26CF4A0B9BB_.wvu.FilterData" localSheetId="8" hidden="1">'Customers'!#REF!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E5DA482D_7F1D_4A9C_A628_A26CF4A0B9BB_.wvu.FilterData" localSheetId="9" hidden="1">'Vendors'!#REF!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<sst xmlns="http://schemas.openxmlformats.org/spreadsheetml/2006/main" count="406" uniqueCount="406">
  <si>
    <t xml:space="preserve">Restro Order Reports </t>
  </si>
  <si>
    <t>Thursday, March 21, 2024</t>
  </si>
  <si>
    <t>Table Of Contents</t>
  </si>
  <si>
    <t>Summary</t>
  </si>
  <si>
    <t>Daily Purchase Report</t>
  </si>
  <si>
    <t>Daily Sales Report</t>
  </si>
  <si>
    <t>Card Transactions</t>
  </si>
  <si>
    <t>Cheque Transactions</t>
  </si>
  <si>
    <t>Daily Stock Report</t>
  </si>
  <si>
    <t>Customer Balance</t>
  </si>
  <si>
    <t>Vendor Balance</t>
  </si>
  <si>
    <t>Daily Summary Report</t>
  </si>
  <si>
    <t>Opening Balance</t>
  </si>
  <si>
    <t>Cash Denomination</t>
  </si>
  <si>
    <t>Qty.</t>
  </si>
  <si>
    <t>Bank</t>
  </si>
  <si>
    <t>Amount</t>
  </si>
  <si>
    <t>Cost Center</t>
  </si>
  <si>
    <t>Sales</t>
  </si>
  <si>
    <t>Cash</t>
  </si>
  <si>
    <t>Bar</t>
  </si>
  <si>
    <t>Card</t>
  </si>
  <si>
    <t>Cheque</t>
  </si>
  <si>
    <t>Credit</t>
  </si>
  <si>
    <t>eSewa</t>
  </si>
  <si>
    <t>FonePay</t>
  </si>
  <si>
    <t>Surplus/Deficit</t>
  </si>
  <si>
    <t xml:space="preserve">Total </t>
  </si>
  <si>
    <t>Advance</t>
  </si>
  <si>
    <t>Total Cash Received</t>
  </si>
  <si>
    <t>Total Expenses</t>
  </si>
  <si>
    <t>Cash In Counter</t>
  </si>
  <si>
    <t>Cash Settlement</t>
  </si>
  <si>
    <t>Closing Balance</t>
  </si>
  <si>
    <t>SN</t>
  </si>
  <si>
    <t>PurchaseNo.</t>
  </si>
  <si>
    <t>Vender</t>
  </si>
  <si>
    <t>Address</t>
  </si>
  <si>
    <t>Item Name</t>
  </si>
  <si>
    <t>Qty</t>
  </si>
  <si>
    <t>Unit</t>
  </si>
  <si>
    <t>Rate(Rs.)</t>
  </si>
  <si>
    <t>VAT(Rs.)</t>
  </si>
  <si>
    <t>Amount(Rs.)</t>
  </si>
  <si>
    <t>Fiscal Year</t>
  </si>
  <si>
    <t>PurchaseBy</t>
  </si>
  <si>
    <t>Date</t>
  </si>
  <si>
    <t>Bill No</t>
  </si>
  <si>
    <t>Time</t>
  </si>
  <si>
    <t>Basic Amnt</t>
  </si>
  <si>
    <t>Discount</t>
  </si>
  <si>
    <t>Srv. Chrg</t>
  </si>
  <si>
    <t>VAT</t>
  </si>
  <si>
    <t>Net Amt</t>
  </si>
  <si>
    <t>Tender Amt</t>
  </si>
  <si>
    <t>Return Amt</t>
  </si>
  <si>
    <t>Received Amt</t>
  </si>
  <si>
    <t>Cheque Amt</t>
  </si>
  <si>
    <t>Card Amt</t>
  </si>
  <si>
    <t>Credit Amt</t>
  </si>
  <si>
    <t>Payment Mode</t>
  </si>
  <si>
    <t>Customer</t>
  </si>
  <si>
    <t>RO80/81-331</t>
  </si>
  <si>
    <t>11:18:25</t>
  </si>
  <si>
    <t>CASH</t>
  </si>
  <si>
    <t/>
  </si>
  <si>
    <t>Total</t>
  </si>
  <si>
    <t>Breakfast(&lt;12 PM)</t>
  </si>
  <si>
    <t>Lunch(12 PM To 4 PM)</t>
  </si>
  <si>
    <t>Sales Amount</t>
  </si>
  <si>
    <t>S.Charge</t>
  </si>
  <si>
    <t>Total Lunch Sales</t>
  </si>
  <si>
    <t>Total Ala Carte Sales</t>
  </si>
  <si>
    <t>Dinner(&gt;4 PM)</t>
  </si>
  <si>
    <t>Total Sales</t>
  </si>
  <si>
    <t>Total Party Sales</t>
  </si>
  <si>
    <t>Card Sales Report</t>
  </si>
  <si>
    <t>Bill Date</t>
  </si>
  <si>
    <t>Room</t>
  </si>
  <si>
    <t>Table</t>
  </si>
  <si>
    <t>Provider</t>
  </si>
  <si>
    <t>Pay Mode</t>
  </si>
  <si>
    <t>Check #</t>
  </si>
  <si>
    <t>Transcation #</t>
  </si>
  <si>
    <t>Cheque Sales Report</t>
  </si>
  <si>
    <t>Received By</t>
  </si>
  <si>
    <t>ItemName</t>
  </si>
  <si>
    <t>Purchase</t>
  </si>
  <si>
    <t>Consumed</t>
  </si>
  <si>
    <t>Cfc</t>
  </si>
  <si>
    <t>pcs</t>
  </si>
  <si>
    <t>hot wings</t>
  </si>
  <si>
    <t>gm</t>
  </si>
  <si>
    <t>Crunchy Chicken Patty</t>
  </si>
  <si>
    <t>PopCorn</t>
  </si>
  <si>
    <t>Buff Sausage</t>
  </si>
  <si>
    <t>Chicken Sausage</t>
  </si>
  <si>
    <t>Chicken ball</t>
  </si>
  <si>
    <t>Grill Chicken Patty</t>
  </si>
  <si>
    <t>Grill Ham Patty</t>
  </si>
  <si>
    <t>Grill veg patty</t>
  </si>
  <si>
    <t>MicroGreen</t>
  </si>
  <si>
    <t xml:space="preserve"> Burger bun</t>
  </si>
  <si>
    <t>pizza base</t>
  </si>
  <si>
    <t>gravy</t>
  </si>
  <si>
    <t>pizza sausage</t>
  </si>
  <si>
    <t xml:space="preserve">Veg Patty </t>
  </si>
  <si>
    <t>Ham Patty</t>
  </si>
  <si>
    <t xml:space="preserve">Spicy patty </t>
  </si>
  <si>
    <t xml:space="preserve">Regular Patty </t>
  </si>
  <si>
    <t>French Fries</t>
  </si>
  <si>
    <t xml:space="preserve">Lemon Chilly </t>
  </si>
  <si>
    <t>Mayonnaise</t>
  </si>
  <si>
    <t>Kanchan Cheese</t>
  </si>
  <si>
    <t>Mozzarella Cheese</t>
  </si>
  <si>
    <t>Mix Flour</t>
  </si>
  <si>
    <t>Sichuan Sauce</t>
  </si>
  <si>
    <t>Mineral Water</t>
  </si>
  <si>
    <t>4 pc take away Box</t>
  </si>
  <si>
    <t>2 pc Takeaway Box</t>
  </si>
  <si>
    <t xml:space="preserve">Butter Paper </t>
  </si>
  <si>
    <t>Makhani Sauce</t>
  </si>
  <si>
    <t xml:space="preserve">Spicy Potato Stick </t>
  </si>
  <si>
    <t xml:space="preserve">Veg Ball </t>
  </si>
  <si>
    <t>Corn Dog</t>
  </si>
  <si>
    <t>potato Cheese Roll</t>
  </si>
  <si>
    <t>Animal Fries Sauce</t>
  </si>
  <si>
    <t>Buff</t>
  </si>
  <si>
    <t>Hot Sauce</t>
  </si>
  <si>
    <t xml:space="preserve">Onion  </t>
  </si>
  <si>
    <t>Cappsicum</t>
  </si>
  <si>
    <t xml:space="preserve">Tomato </t>
  </si>
  <si>
    <t xml:space="preserve">Green Chilly </t>
  </si>
  <si>
    <t xml:space="preserve">Chicken </t>
  </si>
  <si>
    <t>Corn Flour</t>
  </si>
  <si>
    <t>Oil</t>
  </si>
  <si>
    <t>ml</t>
  </si>
  <si>
    <t>Peanuts</t>
  </si>
  <si>
    <t>Spring Onion</t>
  </si>
  <si>
    <t>Capsicum</t>
  </si>
  <si>
    <t>Garlic</t>
  </si>
  <si>
    <t xml:space="preserve">Dry Red Chily </t>
  </si>
  <si>
    <t>Schewan sauce</t>
  </si>
  <si>
    <t>Salt</t>
  </si>
  <si>
    <t>Black Pepper</t>
  </si>
  <si>
    <t>Sesame seed</t>
  </si>
  <si>
    <t>Side Salad</t>
  </si>
  <si>
    <t xml:space="preserve">Pork </t>
  </si>
  <si>
    <t>Red chili Dry</t>
  </si>
  <si>
    <t>Lemon Juice</t>
  </si>
  <si>
    <t>Schezwan Sauce</t>
  </si>
  <si>
    <t>Potato</t>
  </si>
  <si>
    <t>basmati rice</t>
  </si>
  <si>
    <t>Mint</t>
  </si>
  <si>
    <t>Dry nuts</t>
  </si>
  <si>
    <t>Rose water</t>
  </si>
  <si>
    <t>Brown Onion</t>
  </si>
  <si>
    <t>Egg</t>
  </si>
  <si>
    <t>Butter</t>
  </si>
  <si>
    <t>Raita</t>
  </si>
  <si>
    <t>Papad</t>
  </si>
  <si>
    <t>Coconut Powder</t>
  </si>
  <si>
    <t xml:space="preserve">Lettuce </t>
  </si>
  <si>
    <t xml:space="preserve">Cucumber </t>
  </si>
  <si>
    <t xml:space="preserve">Tomato Slices </t>
  </si>
  <si>
    <t>Micro Greens</t>
  </si>
  <si>
    <t>Orio sauce</t>
  </si>
  <si>
    <t>Chat Masala</t>
  </si>
  <si>
    <t>Mustard Oil</t>
  </si>
  <si>
    <t xml:space="preserve">spring Garlic </t>
  </si>
  <si>
    <t>onion Julienne</t>
  </si>
  <si>
    <t xml:space="preserve">Coriander </t>
  </si>
  <si>
    <t>Methi</t>
  </si>
  <si>
    <t>Lemon</t>
  </si>
  <si>
    <t>Turmeric</t>
  </si>
  <si>
    <t>Whole Red Chilly</t>
  </si>
  <si>
    <t>Panner</t>
  </si>
  <si>
    <t>Boiled Veggies</t>
  </si>
  <si>
    <t>Cumin Powder</t>
  </si>
  <si>
    <t>Clove</t>
  </si>
  <si>
    <t xml:space="preserve"> ginger garlic paste</t>
  </si>
  <si>
    <t>Vineger</t>
  </si>
  <si>
    <t>Dry Herbs</t>
  </si>
  <si>
    <t>Cardamom</t>
  </si>
  <si>
    <t>Olive oil</t>
  </si>
  <si>
    <t xml:space="preserve"> Black Olive</t>
  </si>
  <si>
    <t>Pineapple</t>
  </si>
  <si>
    <t>Chilly Flakes</t>
  </si>
  <si>
    <t>Ketchop sachet</t>
  </si>
  <si>
    <t>pkt</t>
  </si>
  <si>
    <t>Saag</t>
  </si>
  <si>
    <t>Cabbage</t>
  </si>
  <si>
    <t>Carrots</t>
  </si>
  <si>
    <t>Green Beans</t>
  </si>
  <si>
    <t>white pepper</t>
  </si>
  <si>
    <t>veg strips</t>
  </si>
  <si>
    <t>Dalmot</t>
  </si>
  <si>
    <t>ginger</t>
  </si>
  <si>
    <t>Curd</t>
  </si>
  <si>
    <t>Sweet corn</t>
  </si>
  <si>
    <t>Chilly Batter</t>
  </si>
  <si>
    <t>Masala Powder</t>
  </si>
  <si>
    <t>Black Salt</t>
  </si>
  <si>
    <t>soya sauce</t>
  </si>
  <si>
    <t>Sugar</t>
  </si>
  <si>
    <t>Timbur</t>
  </si>
  <si>
    <t>Stock</t>
  </si>
  <si>
    <t>Oyster sauce</t>
  </si>
  <si>
    <t>Chicken Patty</t>
  </si>
  <si>
    <t>pangra</t>
  </si>
  <si>
    <t>Jimbu</t>
  </si>
  <si>
    <t>Dalle Kursani</t>
  </si>
  <si>
    <t>munchurian garvy</t>
  </si>
  <si>
    <t>cauliflower</t>
  </si>
  <si>
    <t>mushroom</t>
  </si>
  <si>
    <t>Green peas</t>
  </si>
  <si>
    <t xml:space="preserve">wai wai </t>
  </si>
  <si>
    <t>momo achar</t>
  </si>
  <si>
    <t>whole Chicken</t>
  </si>
  <si>
    <t>Chiura</t>
  </si>
  <si>
    <t>Bhatmas</t>
  </si>
  <si>
    <t>ketchup</t>
  </si>
  <si>
    <t>tori ko tel bhuteko</t>
  </si>
  <si>
    <t>Coffee Beans</t>
  </si>
  <si>
    <t>Sugar Sachet</t>
  </si>
  <si>
    <t>Milk</t>
  </si>
  <si>
    <t>Honey</t>
  </si>
  <si>
    <t>Blue Curacao</t>
  </si>
  <si>
    <t>Strawberry Syrup</t>
  </si>
  <si>
    <t>Vanilla Syrup</t>
  </si>
  <si>
    <t>Chocolate Syrup</t>
  </si>
  <si>
    <t>Kiwi Syrup</t>
  </si>
  <si>
    <t>Chocolate Powder</t>
  </si>
  <si>
    <t xml:space="preserve">Ice Cream </t>
  </si>
  <si>
    <t xml:space="preserve">Chiyapati </t>
  </si>
  <si>
    <t xml:space="preserve">Tea Bag </t>
  </si>
  <si>
    <t xml:space="preserve">Oreo </t>
  </si>
  <si>
    <t>Peach Tea</t>
  </si>
  <si>
    <t>Apple Tea</t>
  </si>
  <si>
    <t>Lemon Tea</t>
  </si>
  <si>
    <t>Banana</t>
  </si>
  <si>
    <t>Cranberry Juice</t>
  </si>
  <si>
    <t>Orange Juice</t>
  </si>
  <si>
    <t>Mango Juice</t>
  </si>
  <si>
    <t>PineApple Juice</t>
  </si>
  <si>
    <t>Green Tea Bag</t>
  </si>
  <si>
    <t>Flavour</t>
  </si>
  <si>
    <t>Coal</t>
  </si>
  <si>
    <t xml:space="preserve">Coco Coal </t>
  </si>
  <si>
    <t>Tuborg</t>
  </si>
  <si>
    <t>btl</t>
  </si>
  <si>
    <t>Carlsberg</t>
  </si>
  <si>
    <t>Gorkha Strong</t>
  </si>
  <si>
    <t>Nepal Ice Strong</t>
  </si>
  <si>
    <t xml:space="preserve">Barasingha </t>
  </si>
  <si>
    <t>Budweiser</t>
  </si>
  <si>
    <t>Apple Cider</t>
  </si>
  <si>
    <t xml:space="preserve">Gorkha Small </t>
  </si>
  <si>
    <t>Tuborg Small</t>
  </si>
  <si>
    <t>Surya Red Pkt</t>
  </si>
  <si>
    <t>Surya Light Pkt</t>
  </si>
  <si>
    <t>Surya Artic Pkt</t>
  </si>
  <si>
    <t>Black Pkt</t>
  </si>
  <si>
    <t>Coke</t>
  </si>
  <si>
    <t>Fanta</t>
  </si>
  <si>
    <t>Sprite</t>
  </si>
  <si>
    <t>Coke 1 ltr</t>
  </si>
  <si>
    <t>Coke Jumbo</t>
  </si>
  <si>
    <t>Fanta Jumbo</t>
  </si>
  <si>
    <t>Sprite Jumbo</t>
  </si>
  <si>
    <t>Dew</t>
  </si>
  <si>
    <t>Slice</t>
  </si>
  <si>
    <t>Pepsi</t>
  </si>
  <si>
    <t>Mirinda</t>
  </si>
  <si>
    <t>Soda</t>
  </si>
  <si>
    <t>8848 Full 750ml</t>
  </si>
  <si>
    <t>Ruslan Full 750ml</t>
  </si>
  <si>
    <t>Nudes Full 750ml</t>
  </si>
  <si>
    <t>Seto Bagh Full 750ml</t>
  </si>
  <si>
    <t>Signature Red Full 750ml</t>
  </si>
  <si>
    <t>Signature Green Full 750ml</t>
  </si>
  <si>
    <t>Old Dubar Full 750ml</t>
  </si>
  <si>
    <t>Black Chimney Full 750ml</t>
  </si>
  <si>
    <t>Gurkha &amp; Guns Full 750ml</t>
  </si>
  <si>
    <t>Kala Patthar Full 750ml</t>
  </si>
  <si>
    <t>Royal Stag Full 750ml</t>
  </si>
  <si>
    <t xml:space="preserve">Jack Daniels Full  </t>
  </si>
  <si>
    <t xml:space="preserve">Jack Daniels Honey full </t>
  </si>
  <si>
    <t>Red Label Full</t>
  </si>
  <si>
    <t>Black Label Full</t>
  </si>
  <si>
    <t>Double Black Full</t>
  </si>
  <si>
    <t>Absolute Vodka full</t>
  </si>
  <si>
    <t>Vat 69 Full</t>
  </si>
  <si>
    <t>Chivas Full</t>
  </si>
  <si>
    <t>Domestic Wine Btl</t>
  </si>
  <si>
    <t>Imported Wine BTL</t>
  </si>
  <si>
    <t>Khukuri Rum</t>
  </si>
  <si>
    <t>Mutton</t>
  </si>
  <si>
    <t>Kalejo</t>
  </si>
  <si>
    <t>Bhutton</t>
  </si>
  <si>
    <t xml:space="preserve">Hyakula </t>
  </si>
  <si>
    <t>Can Mushroom</t>
  </si>
  <si>
    <t>Bandel</t>
  </si>
  <si>
    <t>Mutton Tauko</t>
  </si>
  <si>
    <t>Penne</t>
  </si>
  <si>
    <t>Spegitte</t>
  </si>
  <si>
    <t>Buff Keema</t>
  </si>
  <si>
    <t>Samba Noodles</t>
  </si>
  <si>
    <t>Nanglo Bread</t>
  </si>
  <si>
    <t>Noodles</t>
  </si>
  <si>
    <t>Caramel</t>
  </si>
  <si>
    <t>Station dip</t>
  </si>
  <si>
    <t>Bhuja</t>
  </si>
  <si>
    <t>Maida</t>
  </si>
  <si>
    <t>Kalo Daal</t>
  </si>
  <si>
    <t>Origano</t>
  </si>
  <si>
    <t>Rosemery</t>
  </si>
  <si>
    <t>Pizza Sauce</t>
  </si>
  <si>
    <t>Prawn</t>
  </si>
  <si>
    <t>Cream</t>
  </si>
  <si>
    <t>Flour</t>
  </si>
  <si>
    <t>Raddish</t>
  </si>
  <si>
    <t>Fruit salad</t>
  </si>
  <si>
    <t>ptl</t>
  </si>
  <si>
    <t>BBQ Sauce</t>
  </si>
  <si>
    <t>Classic Dip</t>
  </si>
  <si>
    <t>Animal Sauce</t>
  </si>
  <si>
    <t>Ajino Moto</t>
  </si>
  <si>
    <t xml:space="preserve">2 pm </t>
  </si>
  <si>
    <t>Chicken Gold Coin</t>
  </si>
  <si>
    <t>Mixed Juice</t>
  </si>
  <si>
    <t>Gls</t>
  </si>
  <si>
    <t>Ghee</t>
  </si>
  <si>
    <t>Staff Rice</t>
  </si>
  <si>
    <t xml:space="preserve">Slider  Bun</t>
  </si>
  <si>
    <t>Gas</t>
  </si>
  <si>
    <t>oreo sauce</t>
  </si>
  <si>
    <t>Meat Masala</t>
  </si>
  <si>
    <t>Chicken Masala</t>
  </si>
  <si>
    <t>Slider Grill Patty</t>
  </si>
  <si>
    <t>Chicken Cube</t>
  </si>
  <si>
    <t xml:space="preserve">Slider Spicy Patty </t>
  </si>
  <si>
    <t>Pizza Box</t>
  </si>
  <si>
    <t>Shikhar Ice</t>
  </si>
  <si>
    <t>Mix Dal</t>
  </si>
  <si>
    <t>Sarap</t>
  </si>
  <si>
    <t>Steel Jali</t>
  </si>
  <si>
    <t>Rogoni Mirche</t>
  </si>
  <si>
    <t>Chilly Powder</t>
  </si>
  <si>
    <t>Jeera</t>
  </si>
  <si>
    <t>Dew 500 ml</t>
  </si>
  <si>
    <t>Tomato Puree</t>
  </si>
  <si>
    <t>Shop</t>
  </si>
  <si>
    <t>Besar</t>
  </si>
  <si>
    <t>Besan</t>
  </si>
  <si>
    <t>Baking Soda</t>
  </si>
  <si>
    <t>T-shirt</t>
  </si>
  <si>
    <t>Soap</t>
  </si>
  <si>
    <t>Surya Black</t>
  </si>
  <si>
    <t>MoMo masala</t>
  </si>
  <si>
    <t>Food Color</t>
  </si>
  <si>
    <t>Apple</t>
  </si>
  <si>
    <t>Sanmiguel</t>
  </si>
  <si>
    <t>Aromatic Mix</t>
  </si>
  <si>
    <t xml:space="preserve">Mustang </t>
  </si>
  <si>
    <t>Garam masala</t>
  </si>
  <si>
    <t>Bread crumb</t>
  </si>
  <si>
    <t>8 pc bucket</t>
  </si>
  <si>
    <t>mutton khutta</t>
  </si>
  <si>
    <t>energy drinks</t>
  </si>
  <si>
    <t>Himalaya Reserve</t>
  </si>
  <si>
    <t>Lolita Wine</t>
  </si>
  <si>
    <t>Sausage Masala</t>
  </si>
  <si>
    <t>deepa</t>
  </si>
  <si>
    <t>Full Name</t>
  </si>
  <si>
    <t>Country</t>
  </si>
  <si>
    <t>City</t>
  </si>
  <si>
    <t>Contact No</t>
  </si>
  <si>
    <t>Card Number</t>
  </si>
  <si>
    <t>PAN</t>
  </si>
  <si>
    <t>Credit Balance</t>
  </si>
  <si>
    <t xml:space="preserve">Ajesh  Tamrakar</t>
  </si>
  <si>
    <t>nepal</t>
  </si>
  <si>
    <t>Bhaktapur</t>
  </si>
  <si>
    <t>9801050009</t>
  </si>
  <si>
    <t>12.00</t>
  </si>
  <si>
    <t>Anjana Waiter</t>
  </si>
  <si>
    <t>salaghari</t>
  </si>
  <si>
    <t>9808527299</t>
  </si>
  <si>
    <t>1548.00</t>
  </si>
  <si>
    <t>Binod Waiter</t>
  </si>
  <si>
    <t>500.00</t>
  </si>
  <si>
    <t>Cosmetic Shop</t>
  </si>
  <si>
    <t>Radhe Rahde</t>
  </si>
  <si>
    <t>9843123456</t>
  </si>
  <si>
    <t>Dilip Kutu</t>
  </si>
  <si>
    <t>Kausaltar</t>
  </si>
  <si>
    <t>-10486.00</t>
  </si>
  <si>
    <t>Yawahang Rai</t>
  </si>
  <si>
    <t>Nepal</t>
  </si>
  <si>
    <t>Kathmandu</t>
  </si>
  <si>
    <t>Pepsicola</t>
  </si>
  <si>
    <t>9849138899</t>
  </si>
  <si>
    <t>1111111111</t>
  </si>
  <si>
    <t>12121</t>
  </si>
  <si>
    <t>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</si>
</sst>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[$-F800]dddd\,\ mmmm\ dd\,\ yyyy"/>
    <numFmt numFmtId="166" formatCode="###,###,##0.00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9"/>
      <color theme="10"/>
      <name val="Arial"/>
      <family val="2"/>
    </font>
    <font>
      <u/>
      <sz val="9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Times New Roman"/>
      <family val="1"/>
    </font>
    <font>
      <sz val="10"/>
      <color indexed="8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0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name val="Times New Roman"/>
      <family val="1"/>
    </font>
    <font>
      <sz val="8"/>
      <color theme="1"/>
      <name val="Calibri"/>
      <family val="2"/>
    </font>
    <font>
      <b/>
      <sz val="10"/>
      <color theme="1"/>
      <name val="Calibri"/>
      <family val="2"/>
    </font>
    <font>
      <sz val="8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</fills>
  <borders count="4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61"/>
      </right>
      <top style="thin">
        <color indexed="22"/>
      </top>
      <bottom style="thin">
        <color indexed="6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  <diagonal/>
    </border>
  </borders>
  <cellStyleXfs count="926">
    <xf numFmtId="0" fontId="0" fillId="0" borderId="0"/>
    <xf numFmtId="0" fontId="2" fillId="0" borderId="0"/>
    <xf numFmtId="164" fontId="2" fillId="0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4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5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7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8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0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11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6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9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3" fillId="12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8" borderId="0"/>
    <xf numFmtId="0" fontId="4" fillId="18" borderId="0"/>
    <xf numFmtId="0" fontId="4" fillId="18" borderId="0"/>
    <xf numFmtId="0" fontId="4" fillId="18" borderId="0"/>
    <xf numFmtId="0" fontId="4" fillId="18" borderId="0"/>
    <xf numFmtId="0" fontId="4" fillId="18" borderId="0"/>
    <xf numFmtId="0" fontId="4" fillId="18" borderId="0"/>
    <xf numFmtId="0" fontId="4" fillId="18" borderId="0"/>
    <xf numFmtId="0" fontId="4" fillId="18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4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5" fillId="4" borderId="0"/>
    <xf numFmtId="0" fontId="6" fillId="21" borderId="3"/>
    <xf numFmtId="0" fontId="6" fillId="21" borderId="3"/>
    <xf numFmtId="0" fontId="6" fillId="21" borderId="3"/>
    <xf numFmtId="0" fontId="6" fillId="21" borderId="3"/>
    <xf numFmtId="0" fontId="6" fillId="21" borderId="3"/>
    <xf numFmtId="0" fontId="6" fillId="21" borderId="3"/>
    <xf numFmtId="0" fontId="6" fillId="21" borderId="3"/>
    <xf numFmtId="0" fontId="6" fillId="21" borderId="3"/>
    <xf numFmtId="0" fontId="6" fillId="21" borderId="3"/>
    <xf numFmtId="0" fontId="7" fillId="22" borderId="4"/>
    <xf numFmtId="0" fontId="7" fillId="22" borderId="4"/>
    <xf numFmtId="0" fontId="7" fillId="22" borderId="4"/>
    <xf numFmtId="0" fontId="7" fillId="22" borderId="4"/>
    <xf numFmtId="0" fontId="7" fillId="22" borderId="4"/>
    <xf numFmtId="0" fontId="7" fillId="22" borderId="4"/>
    <xf numFmtId="0" fontId="7" fillId="22" borderId="4"/>
    <xf numFmtId="0" fontId="7" fillId="22" borderId="4"/>
    <xf numFmtId="0" fontId="7" fillId="22" borderId="4"/>
    <xf numFmtId="43" fontId="1" fillId="0" borderId="0"/>
    <xf numFmtId="41" fontId="2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1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" fillId="0" borderId="0"/>
    <xf numFmtId="43" fontId="1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" fillId="0" borderId="0"/>
    <xf numFmtId="43" fontId="3" fillId="0" borderId="0"/>
    <xf numFmtId="43" fontId="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4" fontId="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2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1" fillId="0" borderId="0"/>
    <xf numFmtId="44" fontId="3" fillId="0" borderId="0"/>
    <xf numFmtId="44" fontId="3" fillId="0" borderId="0"/>
    <xf numFmtId="44" fontId="3" fillId="0" borderId="0"/>
    <xf numFmtId="44" fontId="2" fillId="0" borderId="0"/>
    <xf numFmtId="44" fontId="3" fillId="0" borderId="0"/>
    <xf numFmtId="44" fontId="2" fillId="0" borderId="0"/>
    <xf numFmtId="44" fontId="1" fillId="0" borderId="0"/>
    <xf numFmtId="44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7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6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0" fontId="16" fillId="0" borderId="0">
      <alignment vertical="top"/>
      <protection locked="0"/>
    </xf>
    <xf numFmtId="0" fontId="18" fillId="0" borderId="0">
      <alignment vertical="top"/>
      <protection locked="0"/>
    </xf>
    <xf numFmtId="0" fontId="19" fillId="8" borderId="3"/>
    <xf numFmtId="0" fontId="19" fillId="8" borderId="3"/>
    <xf numFmtId="0" fontId="19" fillId="8" borderId="3"/>
    <xf numFmtId="0" fontId="19" fillId="8" borderId="3"/>
    <xf numFmtId="0" fontId="19" fillId="8" borderId="3"/>
    <xf numFmtId="0" fontId="19" fillId="8" borderId="3"/>
    <xf numFmtId="0" fontId="19" fillId="8" borderId="3"/>
    <xf numFmtId="0" fontId="19" fillId="8" borderId="3"/>
    <xf numFmtId="0" fontId="19" fillId="8" borderId="3"/>
    <xf numFmtId="0" fontId="20" fillId="0" borderId="8"/>
    <xf numFmtId="0" fontId="20" fillId="0" borderId="8"/>
    <xf numFmtId="0" fontId="20" fillId="0" borderId="8"/>
    <xf numFmtId="0" fontId="20" fillId="0" borderId="8"/>
    <xf numFmtId="0" fontId="20" fillId="0" borderId="8"/>
    <xf numFmtId="0" fontId="20" fillId="0" borderId="8"/>
    <xf numFmtId="0" fontId="20" fillId="0" borderId="8"/>
    <xf numFmtId="0" fontId="20" fillId="0" borderId="8"/>
    <xf numFmtId="0" fontId="20" fillId="0" borderId="8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164" fontId="2" fillId="0" borderId="0"/>
    <xf numFmtId="164" fontId="2" fillId="0" borderId="0"/>
    <xf numFmtId="0" fontId="1" fillId="0" borderId="0"/>
    <xf numFmtId="164" fontId="2" fillId="0" borderId="0"/>
    <xf numFmtId="0" fontId="2" fillId="0" borderId="0">
      <alignment vertical="top"/>
    </xf>
    <xf numFmtId="0" fontId="2" fillId="0" borderId="0">
      <alignment vertical="top"/>
    </xf>
    <xf numFmtId="164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1" fillId="0" borderId="0"/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1" fillId="0" borderId="0"/>
    <xf numFmtId="0" fontId="1" fillId="0" borderId="0"/>
    <xf numFmtId="0" fontId="2" fillId="0" borderId="0">
      <alignment vertical="top"/>
    </xf>
    <xf numFmtId="0" fontId="1" fillId="0" borderId="0"/>
    <xf numFmtId="0" fontId="2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>
      <alignment vertical="top"/>
    </xf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164" fontId="2" fillId="0" borderId="0"/>
    <xf numFmtId="164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1" fillId="0" borderId="0"/>
    <xf numFmtId="0" fontId="2" fillId="0" borderId="0"/>
    <xf numFmtId="0" fontId="2" fillId="0" borderId="0">
      <alignment vertical="top"/>
    </xf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164" fontId="2" fillId="0" borderId="0"/>
    <xf numFmtId="0" fontId="24" fillId="0" borderId="0"/>
    <xf numFmtId="164" fontId="2" fillId="0" borderId="0"/>
    <xf numFmtId="164" fontId="2" fillId="0" borderId="0"/>
    <xf numFmtId="164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164" fontId="2" fillId="0" borderId="0"/>
    <xf numFmtId="0" fontId="2" fillId="0" borderId="0"/>
    <xf numFmtId="164" fontId="2" fillId="0" borderId="0"/>
    <xf numFmtId="164" fontId="2" fillId="0" borderId="0"/>
    <xf numFmtId="164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164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3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2" borderId="1"/>
    <xf numFmtId="0" fontId="2" fillId="24" borderId="9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2" fillId="24" borderId="9"/>
    <xf numFmtId="0" fontId="3" fillId="2" borderId="1"/>
    <xf numFmtId="0" fontId="2" fillId="24" borderId="9"/>
    <xf numFmtId="0" fontId="2" fillId="24" borderId="9"/>
    <xf numFmtId="0" fontId="2" fillId="24" borderId="9"/>
    <xf numFmtId="0" fontId="2" fillId="24" borderId="9"/>
    <xf numFmtId="0" fontId="2" fillId="24" borderId="9"/>
    <xf numFmtId="0" fontId="2" fillId="24" borderId="9"/>
    <xf numFmtId="0" fontId="2" fillId="24" borderId="9"/>
    <xf numFmtId="0" fontId="25" fillId="21" borderId="10"/>
    <xf numFmtId="0" fontId="25" fillId="21" borderId="10"/>
    <xf numFmtId="0" fontId="25" fillId="21" borderId="10"/>
    <xf numFmtId="0" fontId="25" fillId="21" borderId="10"/>
    <xf numFmtId="0" fontId="25" fillId="21" borderId="10"/>
    <xf numFmtId="0" fontId="25" fillId="21" borderId="10"/>
    <xf numFmtId="0" fontId="25" fillId="21" borderId="10"/>
    <xf numFmtId="0" fontId="25" fillId="21" borderId="10"/>
    <xf numFmtId="0" fontId="25" fillId="21" borderId="10"/>
    <xf numFmtId="9" fontId="3" fillId="0" borderId="0"/>
    <xf numFmtId="9" fontId="3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1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2" fillId="0" borderId="0"/>
    <xf numFmtId="0" fontId="2" fillId="25" borderId="11"/>
    <xf numFmtId="0" fontId="2" fillId="25" borderId="11"/>
    <xf numFmtId="0" fontId="2" fillId="25" borderId="11"/>
    <xf numFmtId="0" fontId="2" fillId="25" borderId="11"/>
    <xf numFmtId="0" fontId="2" fillId="25" borderId="11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7" fillId="0" borderId="12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</cellStyleXfs>
  <cellXfs count="1005">
    <xf numFmtId="0" applyNumberFormat="1" fontId="0" applyFont="1" fillId="0" applyFill="1" borderId="0" applyBorder="1" xfId="0"/>
    <xf numFmtId="0" applyNumberFormat="1" fontId="2" applyFont="1" fillId="0" applyFill="1" borderId="0" applyBorder="1" xfId="1"/>
    <xf numFmtId="164" applyNumberFormat="1" fontId="2" applyFont="1" fillId="0" applyFill="1" borderId="0" applyBorder="1" xfId="2"/>
    <xf numFmtId="0" applyNumberFormat="1" fontId="3" applyFont="1" fillId="3" applyFill="1" borderId="0" applyBorder="1" xfId="3"/>
    <xf numFmtId="0" applyNumberFormat="1" fontId="3" applyFont="1" fillId="3" applyFill="1" borderId="0" applyBorder="1" xfId="4"/>
    <xf numFmtId="0" applyNumberFormat="1" fontId="3" applyFont="1" fillId="3" applyFill="1" borderId="0" applyBorder="1" xfId="5"/>
    <xf numFmtId="0" applyNumberFormat="1" fontId="3" applyFont="1" fillId="3" applyFill="1" borderId="0" applyBorder="1" xfId="6"/>
    <xf numFmtId="0" applyNumberFormat="1" fontId="3" applyFont="1" fillId="3" applyFill="1" borderId="0" applyBorder="1" xfId="7"/>
    <xf numFmtId="0" applyNumberFormat="1" fontId="3" applyFont="1" fillId="3" applyFill="1" borderId="0" applyBorder="1" xfId="8"/>
    <xf numFmtId="0" applyNumberFormat="1" fontId="3" applyFont="1" fillId="3" applyFill="1" borderId="0" applyBorder="1" xfId="9"/>
    <xf numFmtId="0" applyNumberFormat="1" fontId="3" applyFont="1" fillId="3" applyFill="1" borderId="0" applyBorder="1" xfId="10"/>
    <xf numFmtId="0" applyNumberFormat="1" fontId="3" applyFont="1" fillId="3" applyFill="1" borderId="0" applyBorder="1" xfId="11"/>
    <xf numFmtId="0" applyNumberFormat="1" fontId="3" applyFont="1" fillId="3" applyFill="1" borderId="0" applyBorder="1" xfId="12"/>
    <xf numFmtId="0" applyNumberFormat="1" fontId="3" applyFont="1" fillId="3" applyFill="1" borderId="0" applyBorder="1" xfId="13"/>
    <xf numFmtId="0" applyNumberFormat="1" fontId="3" applyFont="1" fillId="3" applyFill="1" borderId="0" applyBorder="1" xfId="14"/>
    <xf numFmtId="0" applyNumberFormat="1" fontId="3" applyFont="1" fillId="3" applyFill="1" borderId="0" applyBorder="1" xfId="15"/>
    <xf numFmtId="0" applyNumberFormat="1" fontId="3" applyFont="1" fillId="3" applyFill="1" borderId="0" applyBorder="1" xfId="16"/>
    <xf numFmtId="0" applyNumberFormat="1" fontId="3" applyFont="1" fillId="3" applyFill="1" borderId="0" applyBorder="1" xfId="17"/>
    <xf numFmtId="0" applyNumberFormat="1" fontId="3" applyFont="1" fillId="3" applyFill="1" borderId="0" applyBorder="1" xfId="18"/>
    <xf numFmtId="0" applyNumberFormat="1" fontId="3" applyFont="1" fillId="3" applyFill="1" borderId="0" applyBorder="1" xfId="19"/>
    <xf numFmtId="0" applyNumberFormat="1" fontId="3" applyFont="1" fillId="3" applyFill="1" borderId="0" applyBorder="1" xfId="20"/>
    <xf numFmtId="0" applyNumberFormat="1" fontId="3" applyFont="1" fillId="3" applyFill="1" borderId="0" applyBorder="1" xfId="21"/>
    <xf numFmtId="0" applyNumberFormat="1" fontId="3" applyFont="1" fillId="3" applyFill="1" borderId="0" applyBorder="1" xfId="22"/>
    <xf numFmtId="0" applyNumberFormat="1" fontId="3" applyFont="1" fillId="3" applyFill="1" borderId="0" applyBorder="1" xfId="23"/>
    <xf numFmtId="0" applyNumberFormat="1" fontId="3" applyFont="1" fillId="3" applyFill="1" borderId="0" applyBorder="1" xfId="24"/>
    <xf numFmtId="0" applyNumberFormat="1" fontId="3" applyFont="1" fillId="3" applyFill="1" borderId="0" applyBorder="1" xfId="25"/>
    <xf numFmtId="0" applyNumberFormat="1" fontId="3" applyFont="1" fillId="3" applyFill="1" borderId="0" applyBorder="1" xfId="26"/>
    <xf numFmtId="0" applyNumberFormat="1" fontId="3" applyFont="1" fillId="3" applyFill="1" borderId="0" applyBorder="1" xfId="27"/>
    <xf numFmtId="0" applyNumberFormat="1" fontId="3" applyFont="1" fillId="3" applyFill="1" borderId="0" applyBorder="1" xfId="28"/>
    <xf numFmtId="0" applyNumberFormat="1" fontId="3" applyFont="1" fillId="3" applyFill="1" borderId="0" applyBorder="1" xfId="29"/>
    <xf numFmtId="0" applyNumberFormat="1" fontId="3" applyFont="1" fillId="3" applyFill="1" borderId="0" applyBorder="1" xfId="30"/>
    <xf numFmtId="0" applyNumberFormat="1" fontId="3" applyFont="1" fillId="3" applyFill="1" borderId="0" applyBorder="1" xfId="31"/>
    <xf numFmtId="0" applyNumberFormat="1" fontId="3" applyFont="1" fillId="3" applyFill="1" borderId="0" applyBorder="1" xfId="32"/>
    <xf numFmtId="0" applyNumberFormat="1" fontId="3" applyFont="1" fillId="3" applyFill="1" borderId="0" applyBorder="1" xfId="33"/>
    <xf numFmtId="0" applyNumberFormat="1" fontId="3" applyFont="1" fillId="3" applyFill="1" borderId="0" applyBorder="1" xfId="34"/>
    <xf numFmtId="0" applyNumberFormat="1" fontId="3" applyFont="1" fillId="3" applyFill="1" borderId="0" applyBorder="1" xfId="35"/>
    <xf numFmtId="0" applyNumberFormat="1" fontId="3" applyFont="1" fillId="3" applyFill="1" borderId="0" applyBorder="1" xfId="36"/>
    <xf numFmtId="0" applyNumberFormat="1" fontId="3" applyFont="1" fillId="4" applyFill="1" borderId="0" applyBorder="1" xfId="37"/>
    <xf numFmtId="0" applyNumberFormat="1" fontId="3" applyFont="1" fillId="4" applyFill="1" borderId="0" applyBorder="1" xfId="38"/>
    <xf numFmtId="0" applyNumberFormat="1" fontId="3" applyFont="1" fillId="4" applyFill="1" borderId="0" applyBorder="1" xfId="39"/>
    <xf numFmtId="0" applyNumberFormat="1" fontId="3" applyFont="1" fillId="4" applyFill="1" borderId="0" applyBorder="1" xfId="40"/>
    <xf numFmtId="0" applyNumberFormat="1" fontId="3" applyFont="1" fillId="4" applyFill="1" borderId="0" applyBorder="1" xfId="41"/>
    <xf numFmtId="0" applyNumberFormat="1" fontId="3" applyFont="1" fillId="4" applyFill="1" borderId="0" applyBorder="1" xfId="42"/>
    <xf numFmtId="0" applyNumberFormat="1" fontId="3" applyFont="1" fillId="4" applyFill="1" borderId="0" applyBorder="1" xfId="43"/>
    <xf numFmtId="0" applyNumberFormat="1" fontId="3" applyFont="1" fillId="4" applyFill="1" borderId="0" applyBorder="1" xfId="44"/>
    <xf numFmtId="0" applyNumberFormat="1" fontId="3" applyFont="1" fillId="4" applyFill="1" borderId="0" applyBorder="1" xfId="45"/>
    <xf numFmtId="0" applyNumberFormat="1" fontId="3" applyFont="1" fillId="4" applyFill="1" borderId="0" applyBorder="1" xfId="46"/>
    <xf numFmtId="0" applyNumberFormat="1" fontId="3" applyFont="1" fillId="4" applyFill="1" borderId="0" applyBorder="1" xfId="47"/>
    <xf numFmtId="0" applyNumberFormat="1" fontId="3" applyFont="1" fillId="4" applyFill="1" borderId="0" applyBorder="1" xfId="48"/>
    <xf numFmtId="0" applyNumberFormat="1" fontId="3" applyFont="1" fillId="4" applyFill="1" borderId="0" applyBorder="1" xfId="49"/>
    <xf numFmtId="0" applyNumberFormat="1" fontId="3" applyFont="1" fillId="4" applyFill="1" borderId="0" applyBorder="1" xfId="50"/>
    <xf numFmtId="0" applyNumberFormat="1" fontId="3" applyFont="1" fillId="4" applyFill="1" borderId="0" applyBorder="1" xfId="51"/>
    <xf numFmtId="0" applyNumberFormat="1" fontId="3" applyFont="1" fillId="4" applyFill="1" borderId="0" applyBorder="1" xfId="52"/>
    <xf numFmtId="0" applyNumberFormat="1" fontId="3" applyFont="1" fillId="4" applyFill="1" borderId="0" applyBorder="1" xfId="53"/>
    <xf numFmtId="0" applyNumberFormat="1" fontId="3" applyFont="1" fillId="4" applyFill="1" borderId="0" applyBorder="1" xfId="54"/>
    <xf numFmtId="0" applyNumberFormat="1" fontId="3" applyFont="1" fillId="4" applyFill="1" borderId="0" applyBorder="1" xfId="55"/>
    <xf numFmtId="0" applyNumberFormat="1" fontId="3" applyFont="1" fillId="4" applyFill="1" borderId="0" applyBorder="1" xfId="56"/>
    <xf numFmtId="0" applyNumberFormat="1" fontId="3" applyFont="1" fillId="4" applyFill="1" borderId="0" applyBorder="1" xfId="57"/>
    <xf numFmtId="0" applyNumberFormat="1" fontId="3" applyFont="1" fillId="4" applyFill="1" borderId="0" applyBorder="1" xfId="58"/>
    <xf numFmtId="0" applyNumberFormat="1" fontId="3" applyFont="1" fillId="4" applyFill="1" borderId="0" applyBorder="1" xfId="59"/>
    <xf numFmtId="0" applyNumberFormat="1" fontId="3" applyFont="1" fillId="4" applyFill="1" borderId="0" applyBorder="1" xfId="60"/>
    <xf numFmtId="0" applyNumberFormat="1" fontId="3" applyFont="1" fillId="4" applyFill="1" borderId="0" applyBorder="1" xfId="61"/>
    <xf numFmtId="0" applyNumberFormat="1" fontId="3" applyFont="1" fillId="4" applyFill="1" borderId="0" applyBorder="1" xfId="62"/>
    <xf numFmtId="0" applyNumberFormat="1" fontId="3" applyFont="1" fillId="4" applyFill="1" borderId="0" applyBorder="1" xfId="63"/>
    <xf numFmtId="0" applyNumberFormat="1" fontId="3" applyFont="1" fillId="4" applyFill="1" borderId="0" applyBorder="1" xfId="64"/>
    <xf numFmtId="0" applyNumberFormat="1" fontId="3" applyFont="1" fillId="4" applyFill="1" borderId="0" applyBorder="1" xfId="65"/>
    <xf numFmtId="0" applyNumberFormat="1" fontId="3" applyFont="1" fillId="4" applyFill="1" borderId="0" applyBorder="1" xfId="66"/>
    <xf numFmtId="0" applyNumberFormat="1" fontId="3" applyFont="1" fillId="4" applyFill="1" borderId="0" applyBorder="1" xfId="67"/>
    <xf numFmtId="0" applyNumberFormat="1" fontId="3" applyFont="1" fillId="4" applyFill="1" borderId="0" applyBorder="1" xfId="68"/>
    <xf numFmtId="0" applyNumberFormat="1" fontId="3" applyFont="1" fillId="4" applyFill="1" borderId="0" applyBorder="1" xfId="69"/>
    <xf numFmtId="0" applyNumberFormat="1" fontId="3" applyFont="1" fillId="4" applyFill="1" borderId="0" applyBorder="1" xfId="70"/>
    <xf numFmtId="0" applyNumberFormat="1" fontId="3" applyFont="1" fillId="5" applyFill="1" borderId="0" applyBorder="1" xfId="71"/>
    <xf numFmtId="0" applyNumberFormat="1" fontId="3" applyFont="1" fillId="5" applyFill="1" borderId="0" applyBorder="1" xfId="72"/>
    <xf numFmtId="0" applyNumberFormat="1" fontId="3" applyFont="1" fillId="5" applyFill="1" borderId="0" applyBorder="1" xfId="73"/>
    <xf numFmtId="0" applyNumberFormat="1" fontId="3" applyFont="1" fillId="5" applyFill="1" borderId="0" applyBorder="1" xfId="74"/>
    <xf numFmtId="0" applyNumberFormat="1" fontId="3" applyFont="1" fillId="5" applyFill="1" borderId="0" applyBorder="1" xfId="75"/>
    <xf numFmtId="0" applyNumberFormat="1" fontId="3" applyFont="1" fillId="5" applyFill="1" borderId="0" applyBorder="1" xfId="76"/>
    <xf numFmtId="0" applyNumberFormat="1" fontId="3" applyFont="1" fillId="5" applyFill="1" borderId="0" applyBorder="1" xfId="77"/>
    <xf numFmtId="0" applyNumberFormat="1" fontId="3" applyFont="1" fillId="5" applyFill="1" borderId="0" applyBorder="1" xfId="78"/>
    <xf numFmtId="0" applyNumberFormat="1" fontId="3" applyFont="1" fillId="5" applyFill="1" borderId="0" applyBorder="1" xfId="79"/>
    <xf numFmtId="0" applyNumberFormat="1" fontId="3" applyFont="1" fillId="5" applyFill="1" borderId="0" applyBorder="1" xfId="80"/>
    <xf numFmtId="0" applyNumberFormat="1" fontId="3" applyFont="1" fillId="5" applyFill="1" borderId="0" applyBorder="1" xfId="81"/>
    <xf numFmtId="0" applyNumberFormat="1" fontId="3" applyFont="1" fillId="5" applyFill="1" borderId="0" applyBorder="1" xfId="82"/>
    <xf numFmtId="0" applyNumberFormat="1" fontId="3" applyFont="1" fillId="5" applyFill="1" borderId="0" applyBorder="1" xfId="83"/>
    <xf numFmtId="0" applyNumberFormat="1" fontId="3" applyFont="1" fillId="5" applyFill="1" borderId="0" applyBorder="1" xfId="84"/>
    <xf numFmtId="0" applyNumberFormat="1" fontId="3" applyFont="1" fillId="5" applyFill="1" borderId="0" applyBorder="1" xfId="85"/>
    <xf numFmtId="0" applyNumberFormat="1" fontId="3" applyFont="1" fillId="5" applyFill="1" borderId="0" applyBorder="1" xfId="86"/>
    <xf numFmtId="0" applyNumberFormat="1" fontId="3" applyFont="1" fillId="5" applyFill="1" borderId="0" applyBorder="1" xfId="87"/>
    <xf numFmtId="0" applyNumberFormat="1" fontId="3" applyFont="1" fillId="5" applyFill="1" borderId="0" applyBorder="1" xfId="88"/>
    <xf numFmtId="0" applyNumberFormat="1" fontId="3" applyFont="1" fillId="5" applyFill="1" borderId="0" applyBorder="1" xfId="89"/>
    <xf numFmtId="0" applyNumberFormat="1" fontId="3" applyFont="1" fillId="5" applyFill="1" borderId="0" applyBorder="1" xfId="90"/>
    <xf numFmtId="0" applyNumberFormat="1" fontId="3" applyFont="1" fillId="5" applyFill="1" borderId="0" applyBorder="1" xfId="91"/>
    <xf numFmtId="0" applyNumberFormat="1" fontId="3" applyFont="1" fillId="5" applyFill="1" borderId="0" applyBorder="1" xfId="92"/>
    <xf numFmtId="0" applyNumberFormat="1" fontId="3" applyFont="1" fillId="5" applyFill="1" borderId="0" applyBorder="1" xfId="93"/>
    <xf numFmtId="0" applyNumberFormat="1" fontId="3" applyFont="1" fillId="5" applyFill="1" borderId="0" applyBorder="1" xfId="94"/>
    <xf numFmtId="0" applyNumberFormat="1" fontId="3" applyFont="1" fillId="5" applyFill="1" borderId="0" applyBorder="1" xfId="95"/>
    <xf numFmtId="0" applyNumberFormat="1" fontId="3" applyFont="1" fillId="5" applyFill="1" borderId="0" applyBorder="1" xfId="96"/>
    <xf numFmtId="0" applyNumberFormat="1" fontId="3" applyFont="1" fillId="5" applyFill="1" borderId="0" applyBorder="1" xfId="97"/>
    <xf numFmtId="0" applyNumberFormat="1" fontId="3" applyFont="1" fillId="5" applyFill="1" borderId="0" applyBorder="1" xfId="98"/>
    <xf numFmtId="0" applyNumberFormat="1" fontId="3" applyFont="1" fillId="5" applyFill="1" borderId="0" applyBorder="1" xfId="99"/>
    <xf numFmtId="0" applyNumberFormat="1" fontId="3" applyFont="1" fillId="5" applyFill="1" borderId="0" applyBorder="1" xfId="100"/>
    <xf numFmtId="0" applyNumberFormat="1" fontId="3" applyFont="1" fillId="5" applyFill="1" borderId="0" applyBorder="1" xfId="101"/>
    <xf numFmtId="0" applyNumberFormat="1" fontId="3" applyFont="1" fillId="5" applyFill="1" borderId="0" applyBorder="1" xfId="102"/>
    <xf numFmtId="0" applyNumberFormat="1" fontId="3" applyFont="1" fillId="5" applyFill="1" borderId="0" applyBorder="1" xfId="103"/>
    <xf numFmtId="0" applyNumberFormat="1" fontId="3" applyFont="1" fillId="5" applyFill="1" borderId="0" applyBorder="1" xfId="104"/>
    <xf numFmtId="0" applyNumberFormat="1" fontId="3" applyFont="1" fillId="6" applyFill="1" borderId="0" applyBorder="1" xfId="105"/>
    <xf numFmtId="0" applyNumberFormat="1" fontId="3" applyFont="1" fillId="6" applyFill="1" borderId="0" applyBorder="1" xfId="106"/>
    <xf numFmtId="0" applyNumberFormat="1" fontId="3" applyFont="1" fillId="6" applyFill="1" borderId="0" applyBorder="1" xfId="107"/>
    <xf numFmtId="0" applyNumberFormat="1" fontId="3" applyFont="1" fillId="6" applyFill="1" borderId="0" applyBorder="1" xfId="108"/>
    <xf numFmtId="0" applyNumberFormat="1" fontId="3" applyFont="1" fillId="6" applyFill="1" borderId="0" applyBorder="1" xfId="109"/>
    <xf numFmtId="0" applyNumberFormat="1" fontId="3" applyFont="1" fillId="6" applyFill="1" borderId="0" applyBorder="1" xfId="110"/>
    <xf numFmtId="0" applyNumberFormat="1" fontId="3" applyFont="1" fillId="6" applyFill="1" borderId="0" applyBorder="1" xfId="111"/>
    <xf numFmtId="0" applyNumberFormat="1" fontId="3" applyFont="1" fillId="6" applyFill="1" borderId="0" applyBorder="1" xfId="112"/>
    <xf numFmtId="0" applyNumberFormat="1" fontId="3" applyFont="1" fillId="6" applyFill="1" borderId="0" applyBorder="1" xfId="113"/>
    <xf numFmtId="0" applyNumberFormat="1" fontId="3" applyFont="1" fillId="6" applyFill="1" borderId="0" applyBorder="1" xfId="114"/>
    <xf numFmtId="0" applyNumberFormat="1" fontId="3" applyFont="1" fillId="6" applyFill="1" borderId="0" applyBorder="1" xfId="115"/>
    <xf numFmtId="0" applyNumberFormat="1" fontId="3" applyFont="1" fillId="6" applyFill="1" borderId="0" applyBorder="1" xfId="116"/>
    <xf numFmtId="0" applyNumberFormat="1" fontId="3" applyFont="1" fillId="6" applyFill="1" borderId="0" applyBorder="1" xfId="117"/>
    <xf numFmtId="0" applyNumberFormat="1" fontId="3" applyFont="1" fillId="6" applyFill="1" borderId="0" applyBorder="1" xfId="118"/>
    <xf numFmtId="0" applyNumberFormat="1" fontId="3" applyFont="1" fillId="6" applyFill="1" borderId="0" applyBorder="1" xfId="119"/>
    <xf numFmtId="0" applyNumberFormat="1" fontId="3" applyFont="1" fillId="6" applyFill="1" borderId="0" applyBorder="1" xfId="120"/>
    <xf numFmtId="0" applyNumberFormat="1" fontId="3" applyFont="1" fillId="6" applyFill="1" borderId="0" applyBorder="1" xfId="121"/>
    <xf numFmtId="0" applyNumberFormat="1" fontId="3" applyFont="1" fillId="6" applyFill="1" borderId="0" applyBorder="1" xfId="122"/>
    <xf numFmtId="0" applyNumberFormat="1" fontId="3" applyFont="1" fillId="6" applyFill="1" borderId="0" applyBorder="1" xfId="123"/>
    <xf numFmtId="0" applyNumberFormat="1" fontId="3" applyFont="1" fillId="6" applyFill="1" borderId="0" applyBorder="1" xfId="124"/>
    <xf numFmtId="0" applyNumberFormat="1" fontId="3" applyFont="1" fillId="6" applyFill="1" borderId="0" applyBorder="1" xfId="125"/>
    <xf numFmtId="0" applyNumberFormat="1" fontId="3" applyFont="1" fillId="6" applyFill="1" borderId="0" applyBorder="1" xfId="126"/>
    <xf numFmtId="0" applyNumberFormat="1" fontId="3" applyFont="1" fillId="6" applyFill="1" borderId="0" applyBorder="1" xfId="127"/>
    <xf numFmtId="0" applyNumberFormat="1" fontId="3" applyFont="1" fillId="6" applyFill="1" borderId="0" applyBorder="1" xfId="128"/>
    <xf numFmtId="0" applyNumberFormat="1" fontId="3" applyFont="1" fillId="6" applyFill="1" borderId="0" applyBorder="1" xfId="129"/>
    <xf numFmtId="0" applyNumberFormat="1" fontId="3" applyFont="1" fillId="6" applyFill="1" borderId="0" applyBorder="1" xfId="130"/>
    <xf numFmtId="0" applyNumberFormat="1" fontId="3" applyFont="1" fillId="6" applyFill="1" borderId="0" applyBorder="1" xfId="131"/>
    <xf numFmtId="0" applyNumberFormat="1" fontId="3" applyFont="1" fillId="6" applyFill="1" borderId="0" applyBorder="1" xfId="132"/>
    <xf numFmtId="0" applyNumberFormat="1" fontId="3" applyFont="1" fillId="6" applyFill="1" borderId="0" applyBorder="1" xfId="133"/>
    <xf numFmtId="0" applyNumberFormat="1" fontId="3" applyFont="1" fillId="6" applyFill="1" borderId="0" applyBorder="1" xfId="134"/>
    <xf numFmtId="0" applyNumberFormat="1" fontId="3" applyFont="1" fillId="6" applyFill="1" borderId="0" applyBorder="1" xfId="135"/>
    <xf numFmtId="0" applyNumberFormat="1" fontId="3" applyFont="1" fillId="6" applyFill="1" borderId="0" applyBorder="1" xfId="136"/>
    <xf numFmtId="0" applyNumberFormat="1" fontId="3" applyFont="1" fillId="6" applyFill="1" borderId="0" applyBorder="1" xfId="137"/>
    <xf numFmtId="0" applyNumberFormat="1" fontId="3" applyFont="1" fillId="6" applyFill="1" borderId="0" applyBorder="1" xfId="138"/>
    <xf numFmtId="0" applyNumberFormat="1" fontId="3" applyFont="1" fillId="7" applyFill="1" borderId="0" applyBorder="1" xfId="139"/>
    <xf numFmtId="0" applyNumberFormat="1" fontId="3" applyFont="1" fillId="7" applyFill="1" borderId="0" applyBorder="1" xfId="140"/>
    <xf numFmtId="0" applyNumberFormat="1" fontId="3" applyFont="1" fillId="7" applyFill="1" borderId="0" applyBorder="1" xfId="141"/>
    <xf numFmtId="0" applyNumberFormat="1" fontId="3" applyFont="1" fillId="7" applyFill="1" borderId="0" applyBorder="1" xfId="142"/>
    <xf numFmtId="0" applyNumberFormat="1" fontId="3" applyFont="1" fillId="7" applyFill="1" borderId="0" applyBorder="1" xfId="143"/>
    <xf numFmtId="0" applyNumberFormat="1" fontId="3" applyFont="1" fillId="7" applyFill="1" borderId="0" applyBorder="1" xfId="144"/>
    <xf numFmtId="0" applyNumberFormat="1" fontId="3" applyFont="1" fillId="7" applyFill="1" borderId="0" applyBorder="1" xfId="145"/>
    <xf numFmtId="0" applyNumberFormat="1" fontId="3" applyFont="1" fillId="7" applyFill="1" borderId="0" applyBorder="1" xfId="146"/>
    <xf numFmtId="0" applyNumberFormat="1" fontId="3" applyFont="1" fillId="7" applyFill="1" borderId="0" applyBorder="1" xfId="147"/>
    <xf numFmtId="0" applyNumberFormat="1" fontId="3" applyFont="1" fillId="7" applyFill="1" borderId="0" applyBorder="1" xfId="148"/>
    <xf numFmtId="0" applyNumberFormat="1" fontId="3" applyFont="1" fillId="7" applyFill="1" borderId="0" applyBorder="1" xfId="149"/>
    <xf numFmtId="0" applyNumberFormat="1" fontId="3" applyFont="1" fillId="7" applyFill="1" borderId="0" applyBorder="1" xfId="150"/>
    <xf numFmtId="0" applyNumberFormat="1" fontId="3" applyFont="1" fillId="7" applyFill="1" borderId="0" applyBorder="1" xfId="151"/>
    <xf numFmtId="0" applyNumberFormat="1" fontId="3" applyFont="1" fillId="7" applyFill="1" borderId="0" applyBorder="1" xfId="152"/>
    <xf numFmtId="0" applyNumberFormat="1" fontId="3" applyFont="1" fillId="7" applyFill="1" borderId="0" applyBorder="1" xfId="153"/>
    <xf numFmtId="0" applyNumberFormat="1" fontId="3" applyFont="1" fillId="7" applyFill="1" borderId="0" applyBorder="1" xfId="154"/>
    <xf numFmtId="0" applyNumberFormat="1" fontId="3" applyFont="1" fillId="7" applyFill="1" borderId="0" applyBorder="1" xfId="155"/>
    <xf numFmtId="0" applyNumberFormat="1" fontId="3" applyFont="1" fillId="7" applyFill="1" borderId="0" applyBorder="1" xfId="156"/>
    <xf numFmtId="0" applyNumberFormat="1" fontId="3" applyFont="1" fillId="7" applyFill="1" borderId="0" applyBorder="1" xfId="157"/>
    <xf numFmtId="0" applyNumberFormat="1" fontId="3" applyFont="1" fillId="7" applyFill="1" borderId="0" applyBorder="1" xfId="158"/>
    <xf numFmtId="0" applyNumberFormat="1" fontId="3" applyFont="1" fillId="7" applyFill="1" borderId="0" applyBorder="1" xfId="159"/>
    <xf numFmtId="0" applyNumberFormat="1" fontId="3" applyFont="1" fillId="7" applyFill="1" borderId="0" applyBorder="1" xfId="160"/>
    <xf numFmtId="0" applyNumberFormat="1" fontId="3" applyFont="1" fillId="7" applyFill="1" borderId="0" applyBorder="1" xfId="161"/>
    <xf numFmtId="0" applyNumberFormat="1" fontId="3" applyFont="1" fillId="7" applyFill="1" borderId="0" applyBorder="1" xfId="162"/>
    <xf numFmtId="0" applyNumberFormat="1" fontId="3" applyFont="1" fillId="7" applyFill="1" borderId="0" applyBorder="1" xfId="163"/>
    <xf numFmtId="0" applyNumberFormat="1" fontId="3" applyFont="1" fillId="7" applyFill="1" borderId="0" applyBorder="1" xfId="164"/>
    <xf numFmtId="0" applyNumberFormat="1" fontId="3" applyFont="1" fillId="7" applyFill="1" borderId="0" applyBorder="1" xfId="165"/>
    <xf numFmtId="0" applyNumberFormat="1" fontId="3" applyFont="1" fillId="7" applyFill="1" borderId="0" applyBorder="1" xfId="166"/>
    <xf numFmtId="0" applyNumberFormat="1" fontId="3" applyFont="1" fillId="7" applyFill="1" borderId="0" applyBorder="1" xfId="167"/>
    <xf numFmtId="0" applyNumberFormat="1" fontId="3" applyFont="1" fillId="7" applyFill="1" borderId="0" applyBorder="1" xfId="168"/>
    <xf numFmtId="0" applyNumberFormat="1" fontId="3" applyFont="1" fillId="7" applyFill="1" borderId="0" applyBorder="1" xfId="169"/>
    <xf numFmtId="0" applyNumberFormat="1" fontId="3" applyFont="1" fillId="7" applyFill="1" borderId="0" applyBorder="1" xfId="170"/>
    <xf numFmtId="0" applyNumberFormat="1" fontId="3" applyFont="1" fillId="7" applyFill="1" borderId="0" applyBorder="1" xfId="171"/>
    <xf numFmtId="0" applyNumberFormat="1" fontId="3" applyFont="1" fillId="7" applyFill="1" borderId="0" applyBorder="1" xfId="172"/>
    <xf numFmtId="0" applyNumberFormat="1" fontId="3" applyFont="1" fillId="8" applyFill="1" borderId="0" applyBorder="1" xfId="173"/>
    <xf numFmtId="0" applyNumberFormat="1" fontId="3" applyFont="1" fillId="8" applyFill="1" borderId="0" applyBorder="1" xfId="174"/>
    <xf numFmtId="0" applyNumberFormat="1" fontId="3" applyFont="1" fillId="8" applyFill="1" borderId="0" applyBorder="1" xfId="175"/>
    <xf numFmtId="0" applyNumberFormat="1" fontId="3" applyFont="1" fillId="8" applyFill="1" borderId="0" applyBorder="1" xfId="176"/>
    <xf numFmtId="0" applyNumberFormat="1" fontId="3" applyFont="1" fillId="8" applyFill="1" borderId="0" applyBorder="1" xfId="177"/>
    <xf numFmtId="0" applyNumberFormat="1" fontId="3" applyFont="1" fillId="8" applyFill="1" borderId="0" applyBorder="1" xfId="178"/>
    <xf numFmtId="0" applyNumberFormat="1" fontId="3" applyFont="1" fillId="8" applyFill="1" borderId="0" applyBorder="1" xfId="179"/>
    <xf numFmtId="0" applyNumberFormat="1" fontId="3" applyFont="1" fillId="8" applyFill="1" borderId="0" applyBorder="1" xfId="180"/>
    <xf numFmtId="0" applyNumberFormat="1" fontId="3" applyFont="1" fillId="8" applyFill="1" borderId="0" applyBorder="1" xfId="181"/>
    <xf numFmtId="0" applyNumberFormat="1" fontId="3" applyFont="1" fillId="8" applyFill="1" borderId="0" applyBorder="1" xfId="182"/>
    <xf numFmtId="0" applyNumberFormat="1" fontId="3" applyFont="1" fillId="8" applyFill="1" borderId="0" applyBorder="1" xfId="183"/>
    <xf numFmtId="0" applyNumberFormat="1" fontId="3" applyFont="1" fillId="8" applyFill="1" borderId="0" applyBorder="1" xfId="184"/>
    <xf numFmtId="0" applyNumberFormat="1" fontId="3" applyFont="1" fillId="8" applyFill="1" borderId="0" applyBorder="1" xfId="185"/>
    <xf numFmtId="0" applyNumberFormat="1" fontId="3" applyFont="1" fillId="8" applyFill="1" borderId="0" applyBorder="1" xfId="186"/>
    <xf numFmtId="0" applyNumberFormat="1" fontId="3" applyFont="1" fillId="8" applyFill="1" borderId="0" applyBorder="1" xfId="187"/>
    <xf numFmtId="0" applyNumberFormat="1" fontId="3" applyFont="1" fillId="8" applyFill="1" borderId="0" applyBorder="1" xfId="188"/>
    <xf numFmtId="0" applyNumberFormat="1" fontId="3" applyFont="1" fillId="8" applyFill="1" borderId="0" applyBorder="1" xfId="189"/>
    <xf numFmtId="0" applyNumberFormat="1" fontId="3" applyFont="1" fillId="8" applyFill="1" borderId="0" applyBorder="1" xfId="190"/>
    <xf numFmtId="0" applyNumberFormat="1" fontId="3" applyFont="1" fillId="8" applyFill="1" borderId="0" applyBorder="1" xfId="191"/>
    <xf numFmtId="0" applyNumberFormat="1" fontId="3" applyFont="1" fillId="8" applyFill="1" borderId="0" applyBorder="1" xfId="192"/>
    <xf numFmtId="0" applyNumberFormat="1" fontId="3" applyFont="1" fillId="8" applyFill="1" borderId="0" applyBorder="1" xfId="193"/>
    <xf numFmtId="0" applyNumberFormat="1" fontId="3" applyFont="1" fillId="8" applyFill="1" borderId="0" applyBorder="1" xfId="194"/>
    <xf numFmtId="0" applyNumberFormat="1" fontId="3" applyFont="1" fillId="8" applyFill="1" borderId="0" applyBorder="1" xfId="195"/>
    <xf numFmtId="0" applyNumberFormat="1" fontId="3" applyFont="1" fillId="8" applyFill="1" borderId="0" applyBorder="1" xfId="196"/>
    <xf numFmtId="0" applyNumberFormat="1" fontId="3" applyFont="1" fillId="8" applyFill="1" borderId="0" applyBorder="1" xfId="197"/>
    <xf numFmtId="0" applyNumberFormat="1" fontId="3" applyFont="1" fillId="8" applyFill="1" borderId="0" applyBorder="1" xfId="198"/>
    <xf numFmtId="0" applyNumberFormat="1" fontId="3" applyFont="1" fillId="8" applyFill="1" borderId="0" applyBorder="1" xfId="199"/>
    <xf numFmtId="0" applyNumberFormat="1" fontId="3" applyFont="1" fillId="8" applyFill="1" borderId="0" applyBorder="1" xfId="200"/>
    <xf numFmtId="0" applyNumberFormat="1" fontId="3" applyFont="1" fillId="8" applyFill="1" borderId="0" applyBorder="1" xfId="201"/>
    <xf numFmtId="0" applyNumberFormat="1" fontId="3" applyFont="1" fillId="8" applyFill="1" borderId="0" applyBorder="1" xfId="202"/>
    <xf numFmtId="0" applyNumberFormat="1" fontId="3" applyFont="1" fillId="8" applyFill="1" borderId="0" applyBorder="1" xfId="203"/>
    <xf numFmtId="0" applyNumberFormat="1" fontId="3" applyFont="1" fillId="8" applyFill="1" borderId="0" applyBorder="1" xfId="204"/>
    <xf numFmtId="0" applyNumberFormat="1" fontId="3" applyFont="1" fillId="8" applyFill="1" borderId="0" applyBorder="1" xfId="205"/>
    <xf numFmtId="0" applyNumberFormat="1" fontId="3" applyFont="1" fillId="8" applyFill="1" borderId="0" applyBorder="1" xfId="206"/>
    <xf numFmtId="0" applyNumberFormat="1" fontId="3" applyFont="1" fillId="9" applyFill="1" borderId="0" applyBorder="1" xfId="207"/>
    <xf numFmtId="0" applyNumberFormat="1" fontId="3" applyFont="1" fillId="9" applyFill="1" borderId="0" applyBorder="1" xfId="208"/>
    <xf numFmtId="0" applyNumberFormat="1" fontId="3" applyFont="1" fillId="9" applyFill="1" borderId="0" applyBorder="1" xfId="209"/>
    <xf numFmtId="0" applyNumberFormat="1" fontId="3" applyFont="1" fillId="9" applyFill="1" borderId="0" applyBorder="1" xfId="210"/>
    <xf numFmtId="0" applyNumberFormat="1" fontId="3" applyFont="1" fillId="9" applyFill="1" borderId="0" applyBorder="1" xfId="211"/>
    <xf numFmtId="0" applyNumberFormat="1" fontId="3" applyFont="1" fillId="9" applyFill="1" borderId="0" applyBorder="1" xfId="212"/>
    <xf numFmtId="0" applyNumberFormat="1" fontId="3" applyFont="1" fillId="9" applyFill="1" borderId="0" applyBorder="1" xfId="213"/>
    <xf numFmtId="0" applyNumberFormat="1" fontId="3" applyFont="1" fillId="9" applyFill="1" borderId="0" applyBorder="1" xfId="214"/>
    <xf numFmtId="0" applyNumberFormat="1" fontId="3" applyFont="1" fillId="9" applyFill="1" borderId="0" applyBorder="1" xfId="215"/>
    <xf numFmtId="0" applyNumberFormat="1" fontId="3" applyFont="1" fillId="9" applyFill="1" borderId="0" applyBorder="1" xfId="216"/>
    <xf numFmtId="0" applyNumberFormat="1" fontId="3" applyFont="1" fillId="9" applyFill="1" borderId="0" applyBorder="1" xfId="217"/>
    <xf numFmtId="0" applyNumberFormat="1" fontId="3" applyFont="1" fillId="9" applyFill="1" borderId="0" applyBorder="1" xfId="218"/>
    <xf numFmtId="0" applyNumberFormat="1" fontId="3" applyFont="1" fillId="9" applyFill="1" borderId="0" applyBorder="1" xfId="219"/>
    <xf numFmtId="0" applyNumberFormat="1" fontId="3" applyFont="1" fillId="9" applyFill="1" borderId="0" applyBorder="1" xfId="220"/>
    <xf numFmtId="0" applyNumberFormat="1" fontId="3" applyFont="1" fillId="9" applyFill="1" borderId="0" applyBorder="1" xfId="221"/>
    <xf numFmtId="0" applyNumberFormat="1" fontId="3" applyFont="1" fillId="9" applyFill="1" borderId="0" applyBorder="1" xfId="222"/>
    <xf numFmtId="0" applyNumberFormat="1" fontId="3" applyFont="1" fillId="9" applyFill="1" borderId="0" applyBorder="1" xfId="223"/>
    <xf numFmtId="0" applyNumberFormat="1" fontId="3" applyFont="1" fillId="9" applyFill="1" borderId="0" applyBorder="1" xfId="224"/>
    <xf numFmtId="0" applyNumberFormat="1" fontId="3" applyFont="1" fillId="9" applyFill="1" borderId="0" applyBorder="1" xfId="225"/>
    <xf numFmtId="0" applyNumberFormat="1" fontId="3" applyFont="1" fillId="9" applyFill="1" borderId="0" applyBorder="1" xfId="226"/>
    <xf numFmtId="0" applyNumberFormat="1" fontId="3" applyFont="1" fillId="9" applyFill="1" borderId="0" applyBorder="1" xfId="227"/>
    <xf numFmtId="0" applyNumberFormat="1" fontId="3" applyFont="1" fillId="9" applyFill="1" borderId="0" applyBorder="1" xfId="228"/>
    <xf numFmtId="0" applyNumberFormat="1" fontId="3" applyFont="1" fillId="9" applyFill="1" borderId="0" applyBorder="1" xfId="229"/>
    <xf numFmtId="0" applyNumberFormat="1" fontId="3" applyFont="1" fillId="9" applyFill="1" borderId="0" applyBorder="1" xfId="230"/>
    <xf numFmtId="0" applyNumberFormat="1" fontId="3" applyFont="1" fillId="9" applyFill="1" borderId="0" applyBorder="1" xfId="231"/>
    <xf numFmtId="0" applyNumberFormat="1" fontId="3" applyFont="1" fillId="9" applyFill="1" borderId="0" applyBorder="1" xfId="232"/>
    <xf numFmtId="0" applyNumberFormat="1" fontId="3" applyFont="1" fillId="9" applyFill="1" borderId="0" applyBorder="1" xfId="233"/>
    <xf numFmtId="0" applyNumberFormat="1" fontId="3" applyFont="1" fillId="9" applyFill="1" borderId="0" applyBorder="1" xfId="234"/>
    <xf numFmtId="0" applyNumberFormat="1" fontId="3" applyFont="1" fillId="9" applyFill="1" borderId="0" applyBorder="1" xfId="235"/>
    <xf numFmtId="0" applyNumberFormat="1" fontId="3" applyFont="1" fillId="9" applyFill="1" borderId="0" applyBorder="1" xfId="236"/>
    <xf numFmtId="0" applyNumberFormat="1" fontId="3" applyFont="1" fillId="9" applyFill="1" borderId="0" applyBorder="1" xfId="237"/>
    <xf numFmtId="0" applyNumberFormat="1" fontId="3" applyFont="1" fillId="9" applyFill="1" borderId="0" applyBorder="1" xfId="238"/>
    <xf numFmtId="0" applyNumberFormat="1" fontId="3" applyFont="1" fillId="9" applyFill="1" borderId="0" applyBorder="1" xfId="239"/>
    <xf numFmtId="0" applyNumberFormat="1" fontId="3" applyFont="1" fillId="9" applyFill="1" borderId="0" applyBorder="1" xfId="240"/>
    <xf numFmtId="0" applyNumberFormat="1" fontId="3" applyFont="1" fillId="10" applyFill="1" borderId="0" applyBorder="1" xfId="241"/>
    <xf numFmtId="0" applyNumberFormat="1" fontId="3" applyFont="1" fillId="10" applyFill="1" borderId="0" applyBorder="1" xfId="242"/>
    <xf numFmtId="0" applyNumberFormat="1" fontId="3" applyFont="1" fillId="10" applyFill="1" borderId="0" applyBorder="1" xfId="243"/>
    <xf numFmtId="0" applyNumberFormat="1" fontId="3" applyFont="1" fillId="10" applyFill="1" borderId="0" applyBorder="1" xfId="244"/>
    <xf numFmtId="0" applyNumberFormat="1" fontId="3" applyFont="1" fillId="10" applyFill="1" borderId="0" applyBorder="1" xfId="245"/>
    <xf numFmtId="0" applyNumberFormat="1" fontId="3" applyFont="1" fillId="10" applyFill="1" borderId="0" applyBorder="1" xfId="246"/>
    <xf numFmtId="0" applyNumberFormat="1" fontId="3" applyFont="1" fillId="10" applyFill="1" borderId="0" applyBorder="1" xfId="247"/>
    <xf numFmtId="0" applyNumberFormat="1" fontId="3" applyFont="1" fillId="10" applyFill="1" borderId="0" applyBorder="1" xfId="248"/>
    <xf numFmtId="0" applyNumberFormat="1" fontId="3" applyFont="1" fillId="10" applyFill="1" borderId="0" applyBorder="1" xfId="249"/>
    <xf numFmtId="0" applyNumberFormat="1" fontId="3" applyFont="1" fillId="10" applyFill="1" borderId="0" applyBorder="1" xfId="250"/>
    <xf numFmtId="0" applyNumberFormat="1" fontId="3" applyFont="1" fillId="10" applyFill="1" borderId="0" applyBorder="1" xfId="251"/>
    <xf numFmtId="0" applyNumberFormat="1" fontId="3" applyFont="1" fillId="10" applyFill="1" borderId="0" applyBorder="1" xfId="252"/>
    <xf numFmtId="0" applyNumberFormat="1" fontId="3" applyFont="1" fillId="10" applyFill="1" borderId="0" applyBorder="1" xfId="253"/>
    <xf numFmtId="0" applyNumberFormat="1" fontId="3" applyFont="1" fillId="10" applyFill="1" borderId="0" applyBorder="1" xfId="254"/>
    <xf numFmtId="0" applyNumberFormat="1" fontId="3" applyFont="1" fillId="10" applyFill="1" borderId="0" applyBorder="1" xfId="255"/>
    <xf numFmtId="0" applyNumberFormat="1" fontId="3" applyFont="1" fillId="10" applyFill="1" borderId="0" applyBorder="1" xfId="256"/>
    <xf numFmtId="0" applyNumberFormat="1" fontId="3" applyFont="1" fillId="10" applyFill="1" borderId="0" applyBorder="1" xfId="257"/>
    <xf numFmtId="0" applyNumberFormat="1" fontId="3" applyFont="1" fillId="10" applyFill="1" borderId="0" applyBorder="1" xfId="258"/>
    <xf numFmtId="0" applyNumberFormat="1" fontId="3" applyFont="1" fillId="10" applyFill="1" borderId="0" applyBorder="1" xfId="259"/>
    <xf numFmtId="0" applyNumberFormat="1" fontId="3" applyFont="1" fillId="10" applyFill="1" borderId="0" applyBorder="1" xfId="260"/>
    <xf numFmtId="0" applyNumberFormat="1" fontId="3" applyFont="1" fillId="10" applyFill="1" borderId="0" applyBorder="1" xfId="261"/>
    <xf numFmtId="0" applyNumberFormat="1" fontId="3" applyFont="1" fillId="10" applyFill="1" borderId="0" applyBorder="1" xfId="262"/>
    <xf numFmtId="0" applyNumberFormat="1" fontId="3" applyFont="1" fillId="10" applyFill="1" borderId="0" applyBorder="1" xfId="263"/>
    <xf numFmtId="0" applyNumberFormat="1" fontId="3" applyFont="1" fillId="10" applyFill="1" borderId="0" applyBorder="1" xfId="264"/>
    <xf numFmtId="0" applyNumberFormat="1" fontId="3" applyFont="1" fillId="10" applyFill="1" borderId="0" applyBorder="1" xfId="265"/>
    <xf numFmtId="0" applyNumberFormat="1" fontId="3" applyFont="1" fillId="10" applyFill="1" borderId="0" applyBorder="1" xfId="266"/>
    <xf numFmtId="0" applyNumberFormat="1" fontId="3" applyFont="1" fillId="10" applyFill="1" borderId="0" applyBorder="1" xfId="267"/>
    <xf numFmtId="0" applyNumberFormat="1" fontId="3" applyFont="1" fillId="10" applyFill="1" borderId="0" applyBorder="1" xfId="268"/>
    <xf numFmtId="0" applyNumberFormat="1" fontId="3" applyFont="1" fillId="10" applyFill="1" borderId="0" applyBorder="1" xfId="269"/>
    <xf numFmtId="0" applyNumberFormat="1" fontId="3" applyFont="1" fillId="10" applyFill="1" borderId="0" applyBorder="1" xfId="270"/>
    <xf numFmtId="0" applyNumberFormat="1" fontId="3" applyFont="1" fillId="10" applyFill="1" borderId="0" applyBorder="1" xfId="271"/>
    <xf numFmtId="0" applyNumberFormat="1" fontId="3" applyFont="1" fillId="10" applyFill="1" borderId="0" applyBorder="1" xfId="272"/>
    <xf numFmtId="0" applyNumberFormat="1" fontId="3" applyFont="1" fillId="10" applyFill="1" borderId="0" applyBorder="1" xfId="273"/>
    <xf numFmtId="0" applyNumberFormat="1" fontId="3" applyFont="1" fillId="10" applyFill="1" borderId="0" applyBorder="1" xfId="274"/>
    <xf numFmtId="0" applyNumberFormat="1" fontId="3" applyFont="1" fillId="11" applyFill="1" borderId="0" applyBorder="1" xfId="275"/>
    <xf numFmtId="0" applyNumberFormat="1" fontId="3" applyFont="1" fillId="11" applyFill="1" borderId="0" applyBorder="1" xfId="276"/>
    <xf numFmtId="0" applyNumberFormat="1" fontId="3" applyFont="1" fillId="11" applyFill="1" borderId="0" applyBorder="1" xfId="277"/>
    <xf numFmtId="0" applyNumberFormat="1" fontId="3" applyFont="1" fillId="11" applyFill="1" borderId="0" applyBorder="1" xfId="278"/>
    <xf numFmtId="0" applyNumberFormat="1" fontId="3" applyFont="1" fillId="11" applyFill="1" borderId="0" applyBorder="1" xfId="279"/>
    <xf numFmtId="0" applyNumberFormat="1" fontId="3" applyFont="1" fillId="11" applyFill="1" borderId="0" applyBorder="1" xfId="280"/>
    <xf numFmtId="0" applyNumberFormat="1" fontId="3" applyFont="1" fillId="11" applyFill="1" borderId="0" applyBorder="1" xfId="281"/>
    <xf numFmtId="0" applyNumberFormat="1" fontId="3" applyFont="1" fillId="11" applyFill="1" borderId="0" applyBorder="1" xfId="282"/>
    <xf numFmtId="0" applyNumberFormat="1" fontId="3" applyFont="1" fillId="11" applyFill="1" borderId="0" applyBorder="1" xfId="283"/>
    <xf numFmtId="0" applyNumberFormat="1" fontId="3" applyFont="1" fillId="11" applyFill="1" borderId="0" applyBorder="1" xfId="284"/>
    <xf numFmtId="0" applyNumberFormat="1" fontId="3" applyFont="1" fillId="11" applyFill="1" borderId="0" applyBorder="1" xfId="285"/>
    <xf numFmtId="0" applyNumberFormat="1" fontId="3" applyFont="1" fillId="11" applyFill="1" borderId="0" applyBorder="1" xfId="286"/>
    <xf numFmtId="0" applyNumberFormat="1" fontId="3" applyFont="1" fillId="11" applyFill="1" borderId="0" applyBorder="1" xfId="287"/>
    <xf numFmtId="0" applyNumberFormat="1" fontId="3" applyFont="1" fillId="11" applyFill="1" borderId="0" applyBorder="1" xfId="288"/>
    <xf numFmtId="0" applyNumberFormat="1" fontId="3" applyFont="1" fillId="11" applyFill="1" borderId="0" applyBorder="1" xfId="289"/>
    <xf numFmtId="0" applyNumberFormat="1" fontId="3" applyFont="1" fillId="11" applyFill="1" borderId="0" applyBorder="1" xfId="290"/>
    <xf numFmtId="0" applyNumberFormat="1" fontId="3" applyFont="1" fillId="11" applyFill="1" borderId="0" applyBorder="1" xfId="291"/>
    <xf numFmtId="0" applyNumberFormat="1" fontId="3" applyFont="1" fillId="11" applyFill="1" borderId="0" applyBorder="1" xfId="292"/>
    <xf numFmtId="0" applyNumberFormat="1" fontId="3" applyFont="1" fillId="11" applyFill="1" borderId="0" applyBorder="1" xfId="293"/>
    <xf numFmtId="0" applyNumberFormat="1" fontId="3" applyFont="1" fillId="11" applyFill="1" borderId="0" applyBorder="1" xfId="294"/>
    <xf numFmtId="0" applyNumberFormat="1" fontId="3" applyFont="1" fillId="11" applyFill="1" borderId="0" applyBorder="1" xfId="295"/>
    <xf numFmtId="0" applyNumberFormat="1" fontId="3" applyFont="1" fillId="11" applyFill="1" borderId="0" applyBorder="1" xfId="296"/>
    <xf numFmtId="0" applyNumberFormat="1" fontId="3" applyFont="1" fillId="11" applyFill="1" borderId="0" applyBorder="1" xfId="297"/>
    <xf numFmtId="0" applyNumberFormat="1" fontId="3" applyFont="1" fillId="11" applyFill="1" borderId="0" applyBorder="1" xfId="298"/>
    <xf numFmtId="0" applyNumberFormat="1" fontId="3" applyFont="1" fillId="11" applyFill="1" borderId="0" applyBorder="1" xfId="299"/>
    <xf numFmtId="0" applyNumberFormat="1" fontId="3" applyFont="1" fillId="11" applyFill="1" borderId="0" applyBorder="1" xfId="300"/>
    <xf numFmtId="0" applyNumberFormat="1" fontId="3" applyFont="1" fillId="11" applyFill="1" borderId="0" applyBorder="1" xfId="301"/>
    <xf numFmtId="0" applyNumberFormat="1" fontId="3" applyFont="1" fillId="11" applyFill="1" borderId="0" applyBorder="1" xfId="302"/>
    <xf numFmtId="0" applyNumberFormat="1" fontId="3" applyFont="1" fillId="11" applyFill="1" borderId="0" applyBorder="1" xfId="303"/>
    <xf numFmtId="0" applyNumberFormat="1" fontId="3" applyFont="1" fillId="11" applyFill="1" borderId="0" applyBorder="1" xfId="304"/>
    <xf numFmtId="0" applyNumberFormat="1" fontId="3" applyFont="1" fillId="11" applyFill="1" borderId="0" applyBorder="1" xfId="305"/>
    <xf numFmtId="0" applyNumberFormat="1" fontId="3" applyFont="1" fillId="11" applyFill="1" borderId="0" applyBorder="1" xfId="306"/>
    <xf numFmtId="0" applyNumberFormat="1" fontId="3" applyFont="1" fillId="11" applyFill="1" borderId="0" applyBorder="1" xfId="307"/>
    <xf numFmtId="0" applyNumberFormat="1" fontId="3" applyFont="1" fillId="11" applyFill="1" borderId="0" applyBorder="1" xfId="308"/>
    <xf numFmtId="0" applyNumberFormat="1" fontId="3" applyFont="1" fillId="6" applyFill="1" borderId="0" applyBorder="1" xfId="309"/>
    <xf numFmtId="0" applyNumberFormat="1" fontId="3" applyFont="1" fillId="6" applyFill="1" borderId="0" applyBorder="1" xfId="310"/>
    <xf numFmtId="0" applyNumberFormat="1" fontId="3" applyFont="1" fillId="6" applyFill="1" borderId="0" applyBorder="1" xfId="311"/>
    <xf numFmtId="0" applyNumberFormat="1" fontId="3" applyFont="1" fillId="6" applyFill="1" borderId="0" applyBorder="1" xfId="312"/>
    <xf numFmtId="0" applyNumberFormat="1" fontId="3" applyFont="1" fillId="6" applyFill="1" borderId="0" applyBorder="1" xfId="313"/>
    <xf numFmtId="0" applyNumberFormat="1" fontId="3" applyFont="1" fillId="6" applyFill="1" borderId="0" applyBorder="1" xfId="314"/>
    <xf numFmtId="0" applyNumberFormat="1" fontId="3" applyFont="1" fillId="6" applyFill="1" borderId="0" applyBorder="1" xfId="315"/>
    <xf numFmtId="0" applyNumberFormat="1" fontId="3" applyFont="1" fillId="6" applyFill="1" borderId="0" applyBorder="1" xfId="316"/>
    <xf numFmtId="0" applyNumberFormat="1" fontId="3" applyFont="1" fillId="6" applyFill="1" borderId="0" applyBorder="1" xfId="317"/>
    <xf numFmtId="0" applyNumberFormat="1" fontId="3" applyFont="1" fillId="6" applyFill="1" borderId="0" applyBorder="1" xfId="318"/>
    <xf numFmtId="0" applyNumberFormat="1" fontId="3" applyFont="1" fillId="6" applyFill="1" borderId="0" applyBorder="1" xfId="319"/>
    <xf numFmtId="0" applyNumberFormat="1" fontId="3" applyFont="1" fillId="6" applyFill="1" borderId="0" applyBorder="1" xfId="320"/>
    <xf numFmtId="0" applyNumberFormat="1" fontId="3" applyFont="1" fillId="6" applyFill="1" borderId="0" applyBorder="1" xfId="321"/>
    <xf numFmtId="0" applyNumberFormat="1" fontId="3" applyFont="1" fillId="6" applyFill="1" borderId="0" applyBorder="1" xfId="322"/>
    <xf numFmtId="0" applyNumberFormat="1" fontId="3" applyFont="1" fillId="6" applyFill="1" borderId="0" applyBorder="1" xfId="323"/>
    <xf numFmtId="0" applyNumberFormat="1" fontId="3" applyFont="1" fillId="6" applyFill="1" borderId="0" applyBorder="1" xfId="324"/>
    <xf numFmtId="0" applyNumberFormat="1" fontId="3" applyFont="1" fillId="6" applyFill="1" borderId="0" applyBorder="1" xfId="325"/>
    <xf numFmtId="0" applyNumberFormat="1" fontId="3" applyFont="1" fillId="6" applyFill="1" borderId="0" applyBorder="1" xfId="326"/>
    <xf numFmtId="0" applyNumberFormat="1" fontId="3" applyFont="1" fillId="6" applyFill="1" borderId="0" applyBorder="1" xfId="327"/>
    <xf numFmtId="0" applyNumberFormat="1" fontId="3" applyFont="1" fillId="6" applyFill="1" borderId="0" applyBorder="1" xfId="328"/>
    <xf numFmtId="0" applyNumberFormat="1" fontId="3" applyFont="1" fillId="6" applyFill="1" borderId="0" applyBorder="1" xfId="329"/>
    <xf numFmtId="0" applyNumberFormat="1" fontId="3" applyFont="1" fillId="6" applyFill="1" borderId="0" applyBorder="1" xfId="330"/>
    <xf numFmtId="0" applyNumberFormat="1" fontId="3" applyFont="1" fillId="6" applyFill="1" borderId="0" applyBorder="1" xfId="331"/>
    <xf numFmtId="0" applyNumberFormat="1" fontId="3" applyFont="1" fillId="6" applyFill="1" borderId="0" applyBorder="1" xfId="332"/>
    <xf numFmtId="0" applyNumberFormat="1" fontId="3" applyFont="1" fillId="6" applyFill="1" borderId="0" applyBorder="1" xfId="333"/>
    <xf numFmtId="0" applyNumberFormat="1" fontId="3" applyFont="1" fillId="6" applyFill="1" borderId="0" applyBorder="1" xfId="334"/>
    <xf numFmtId="0" applyNumberFormat="1" fontId="3" applyFont="1" fillId="6" applyFill="1" borderId="0" applyBorder="1" xfId="335"/>
    <xf numFmtId="0" applyNumberFormat="1" fontId="3" applyFont="1" fillId="6" applyFill="1" borderId="0" applyBorder="1" xfId="336"/>
    <xf numFmtId="0" applyNumberFormat="1" fontId="3" applyFont="1" fillId="6" applyFill="1" borderId="0" applyBorder="1" xfId="337"/>
    <xf numFmtId="0" applyNumberFormat="1" fontId="3" applyFont="1" fillId="6" applyFill="1" borderId="0" applyBorder="1" xfId="338"/>
    <xf numFmtId="0" applyNumberFormat="1" fontId="3" applyFont="1" fillId="6" applyFill="1" borderId="0" applyBorder="1" xfId="339"/>
    <xf numFmtId="0" applyNumberFormat="1" fontId="3" applyFont="1" fillId="6" applyFill="1" borderId="0" applyBorder="1" xfId="340"/>
    <xf numFmtId="0" applyNumberFormat="1" fontId="3" applyFont="1" fillId="6" applyFill="1" borderId="0" applyBorder="1" xfId="341"/>
    <xf numFmtId="0" applyNumberFormat="1" fontId="3" applyFont="1" fillId="6" applyFill="1" borderId="0" applyBorder="1" xfId="342"/>
    <xf numFmtId="0" applyNumberFormat="1" fontId="3" applyFont="1" fillId="9" applyFill="1" borderId="0" applyBorder="1" xfId="343"/>
    <xf numFmtId="0" applyNumberFormat="1" fontId="3" applyFont="1" fillId="9" applyFill="1" borderId="0" applyBorder="1" xfId="344"/>
    <xf numFmtId="0" applyNumberFormat="1" fontId="3" applyFont="1" fillId="9" applyFill="1" borderId="0" applyBorder="1" xfId="345"/>
    <xf numFmtId="0" applyNumberFormat="1" fontId="3" applyFont="1" fillId="9" applyFill="1" borderId="0" applyBorder="1" xfId="346"/>
    <xf numFmtId="0" applyNumberFormat="1" fontId="3" applyFont="1" fillId="9" applyFill="1" borderId="0" applyBorder="1" xfId="347"/>
    <xf numFmtId="0" applyNumberFormat="1" fontId="3" applyFont="1" fillId="9" applyFill="1" borderId="0" applyBorder="1" xfId="348"/>
    <xf numFmtId="0" applyNumberFormat="1" fontId="3" applyFont="1" fillId="9" applyFill="1" borderId="0" applyBorder="1" xfId="349"/>
    <xf numFmtId="0" applyNumberFormat="1" fontId="3" applyFont="1" fillId="9" applyFill="1" borderId="0" applyBorder="1" xfId="350"/>
    <xf numFmtId="0" applyNumberFormat="1" fontId="3" applyFont="1" fillId="9" applyFill="1" borderId="0" applyBorder="1" xfId="351"/>
    <xf numFmtId="0" applyNumberFormat="1" fontId="3" applyFont="1" fillId="9" applyFill="1" borderId="0" applyBorder="1" xfId="352"/>
    <xf numFmtId="0" applyNumberFormat="1" fontId="3" applyFont="1" fillId="9" applyFill="1" borderId="0" applyBorder="1" xfId="353"/>
    <xf numFmtId="0" applyNumberFormat="1" fontId="3" applyFont="1" fillId="9" applyFill="1" borderId="0" applyBorder="1" xfId="354"/>
    <xf numFmtId="0" applyNumberFormat="1" fontId="3" applyFont="1" fillId="9" applyFill="1" borderId="0" applyBorder="1" xfId="355"/>
    <xf numFmtId="0" applyNumberFormat="1" fontId="3" applyFont="1" fillId="9" applyFill="1" borderId="0" applyBorder="1" xfId="356"/>
    <xf numFmtId="0" applyNumberFormat="1" fontId="3" applyFont="1" fillId="9" applyFill="1" borderId="0" applyBorder="1" xfId="357"/>
    <xf numFmtId="0" applyNumberFormat="1" fontId="3" applyFont="1" fillId="9" applyFill="1" borderId="0" applyBorder="1" xfId="358"/>
    <xf numFmtId="0" applyNumberFormat="1" fontId="3" applyFont="1" fillId="9" applyFill="1" borderId="0" applyBorder="1" xfId="359"/>
    <xf numFmtId="0" applyNumberFormat="1" fontId="3" applyFont="1" fillId="9" applyFill="1" borderId="0" applyBorder="1" xfId="360"/>
    <xf numFmtId="0" applyNumberFormat="1" fontId="3" applyFont="1" fillId="9" applyFill="1" borderId="0" applyBorder="1" xfId="361"/>
    <xf numFmtId="0" applyNumberFormat="1" fontId="3" applyFont="1" fillId="9" applyFill="1" borderId="0" applyBorder="1" xfId="362"/>
    <xf numFmtId="0" applyNumberFormat="1" fontId="3" applyFont="1" fillId="9" applyFill="1" borderId="0" applyBorder="1" xfId="363"/>
    <xf numFmtId="0" applyNumberFormat="1" fontId="3" applyFont="1" fillId="9" applyFill="1" borderId="0" applyBorder="1" xfId="364"/>
    <xf numFmtId="0" applyNumberFormat="1" fontId="3" applyFont="1" fillId="9" applyFill="1" borderId="0" applyBorder="1" xfId="365"/>
    <xf numFmtId="0" applyNumberFormat="1" fontId="3" applyFont="1" fillId="9" applyFill="1" borderId="0" applyBorder="1" xfId="366"/>
    <xf numFmtId="0" applyNumberFormat="1" fontId="3" applyFont="1" fillId="9" applyFill="1" borderId="0" applyBorder="1" xfId="367"/>
    <xf numFmtId="0" applyNumberFormat="1" fontId="3" applyFont="1" fillId="9" applyFill="1" borderId="0" applyBorder="1" xfId="368"/>
    <xf numFmtId="0" applyNumberFormat="1" fontId="3" applyFont="1" fillId="9" applyFill="1" borderId="0" applyBorder="1" xfId="369"/>
    <xf numFmtId="0" applyNumberFormat="1" fontId="3" applyFont="1" fillId="9" applyFill="1" borderId="0" applyBorder="1" xfId="370"/>
    <xf numFmtId="0" applyNumberFormat="1" fontId="3" applyFont="1" fillId="9" applyFill="1" borderId="0" applyBorder="1" xfId="371"/>
    <xf numFmtId="0" applyNumberFormat="1" fontId="3" applyFont="1" fillId="9" applyFill="1" borderId="0" applyBorder="1" xfId="372"/>
    <xf numFmtId="0" applyNumberFormat="1" fontId="3" applyFont="1" fillId="9" applyFill="1" borderId="0" applyBorder="1" xfId="373"/>
    <xf numFmtId="0" applyNumberFormat="1" fontId="3" applyFont="1" fillId="9" applyFill="1" borderId="0" applyBorder="1" xfId="374"/>
    <xf numFmtId="0" applyNumberFormat="1" fontId="3" applyFont="1" fillId="9" applyFill="1" borderId="0" applyBorder="1" xfId="375"/>
    <xf numFmtId="0" applyNumberFormat="1" fontId="3" applyFont="1" fillId="9" applyFill="1" borderId="0" applyBorder="1" xfId="376"/>
    <xf numFmtId="0" applyNumberFormat="1" fontId="3" applyFont="1" fillId="12" applyFill="1" borderId="0" applyBorder="1" xfId="377"/>
    <xf numFmtId="0" applyNumberFormat="1" fontId="3" applyFont="1" fillId="12" applyFill="1" borderId="0" applyBorder="1" xfId="378"/>
    <xf numFmtId="0" applyNumberFormat="1" fontId="3" applyFont="1" fillId="12" applyFill="1" borderId="0" applyBorder="1" xfId="379"/>
    <xf numFmtId="0" applyNumberFormat="1" fontId="3" applyFont="1" fillId="12" applyFill="1" borderId="0" applyBorder="1" xfId="380"/>
    <xf numFmtId="0" applyNumberFormat="1" fontId="3" applyFont="1" fillId="12" applyFill="1" borderId="0" applyBorder="1" xfId="381"/>
    <xf numFmtId="0" applyNumberFormat="1" fontId="3" applyFont="1" fillId="12" applyFill="1" borderId="0" applyBorder="1" xfId="382"/>
    <xf numFmtId="0" applyNumberFormat="1" fontId="3" applyFont="1" fillId="12" applyFill="1" borderId="0" applyBorder="1" xfId="383"/>
    <xf numFmtId="0" applyNumberFormat="1" fontId="3" applyFont="1" fillId="12" applyFill="1" borderId="0" applyBorder="1" xfId="384"/>
    <xf numFmtId="0" applyNumberFormat="1" fontId="3" applyFont="1" fillId="12" applyFill="1" borderId="0" applyBorder="1" xfId="385"/>
    <xf numFmtId="0" applyNumberFormat="1" fontId="3" applyFont="1" fillId="12" applyFill="1" borderId="0" applyBorder="1" xfId="386"/>
    <xf numFmtId="0" applyNumberFormat="1" fontId="3" applyFont="1" fillId="12" applyFill="1" borderId="0" applyBorder="1" xfId="387"/>
    <xf numFmtId="0" applyNumberFormat="1" fontId="3" applyFont="1" fillId="12" applyFill="1" borderId="0" applyBorder="1" xfId="388"/>
    <xf numFmtId="0" applyNumberFormat="1" fontId="3" applyFont="1" fillId="12" applyFill="1" borderId="0" applyBorder="1" xfId="389"/>
    <xf numFmtId="0" applyNumberFormat="1" fontId="3" applyFont="1" fillId="12" applyFill="1" borderId="0" applyBorder="1" xfId="390"/>
    <xf numFmtId="0" applyNumberFormat="1" fontId="3" applyFont="1" fillId="12" applyFill="1" borderId="0" applyBorder="1" xfId="391"/>
    <xf numFmtId="0" applyNumberFormat="1" fontId="3" applyFont="1" fillId="12" applyFill="1" borderId="0" applyBorder="1" xfId="392"/>
    <xf numFmtId="0" applyNumberFormat="1" fontId="3" applyFont="1" fillId="12" applyFill="1" borderId="0" applyBorder="1" xfId="393"/>
    <xf numFmtId="0" applyNumberFormat="1" fontId="3" applyFont="1" fillId="12" applyFill="1" borderId="0" applyBorder="1" xfId="394"/>
    <xf numFmtId="0" applyNumberFormat="1" fontId="3" applyFont="1" fillId="12" applyFill="1" borderId="0" applyBorder="1" xfId="395"/>
    <xf numFmtId="0" applyNumberFormat="1" fontId="3" applyFont="1" fillId="12" applyFill="1" borderId="0" applyBorder="1" xfId="396"/>
    <xf numFmtId="0" applyNumberFormat="1" fontId="3" applyFont="1" fillId="12" applyFill="1" borderId="0" applyBorder="1" xfId="397"/>
    <xf numFmtId="0" applyNumberFormat="1" fontId="3" applyFont="1" fillId="12" applyFill="1" borderId="0" applyBorder="1" xfId="398"/>
    <xf numFmtId="0" applyNumberFormat="1" fontId="3" applyFont="1" fillId="12" applyFill="1" borderId="0" applyBorder="1" xfId="399"/>
    <xf numFmtId="0" applyNumberFormat="1" fontId="3" applyFont="1" fillId="12" applyFill="1" borderId="0" applyBorder="1" xfId="400"/>
    <xf numFmtId="0" applyNumberFormat="1" fontId="3" applyFont="1" fillId="12" applyFill="1" borderId="0" applyBorder="1" xfId="401"/>
    <xf numFmtId="0" applyNumberFormat="1" fontId="3" applyFont="1" fillId="12" applyFill="1" borderId="0" applyBorder="1" xfId="402"/>
    <xf numFmtId="0" applyNumberFormat="1" fontId="3" applyFont="1" fillId="12" applyFill="1" borderId="0" applyBorder="1" xfId="403"/>
    <xf numFmtId="0" applyNumberFormat="1" fontId="3" applyFont="1" fillId="12" applyFill="1" borderId="0" applyBorder="1" xfId="404"/>
    <xf numFmtId="0" applyNumberFormat="1" fontId="3" applyFont="1" fillId="12" applyFill="1" borderId="0" applyBorder="1" xfId="405"/>
    <xf numFmtId="0" applyNumberFormat="1" fontId="3" applyFont="1" fillId="12" applyFill="1" borderId="0" applyBorder="1" xfId="406"/>
    <xf numFmtId="0" applyNumberFormat="1" fontId="3" applyFont="1" fillId="12" applyFill="1" borderId="0" applyBorder="1" xfId="407"/>
    <xf numFmtId="0" applyNumberFormat="1" fontId="3" applyFont="1" fillId="12" applyFill="1" borderId="0" applyBorder="1" xfId="408"/>
    <xf numFmtId="0" applyNumberFormat="1" fontId="3" applyFont="1" fillId="12" applyFill="1" borderId="0" applyBorder="1" xfId="409"/>
    <xf numFmtId="0" applyNumberFormat="1" fontId="3" applyFont="1" fillId="12" applyFill="1" borderId="0" applyBorder="1" xfId="410"/>
    <xf numFmtId="0" applyNumberFormat="1" fontId="4" applyFont="1" fillId="13" applyFill="1" borderId="0" applyBorder="1" xfId="411"/>
    <xf numFmtId="0" applyNumberFormat="1" fontId="4" applyFont="1" fillId="13" applyFill="1" borderId="0" applyBorder="1" xfId="412"/>
    <xf numFmtId="0" applyNumberFormat="1" fontId="4" applyFont="1" fillId="13" applyFill="1" borderId="0" applyBorder="1" xfId="413"/>
    <xf numFmtId="0" applyNumberFormat="1" fontId="4" applyFont="1" fillId="13" applyFill="1" borderId="0" applyBorder="1" xfId="414"/>
    <xf numFmtId="0" applyNumberFormat="1" fontId="4" applyFont="1" fillId="13" applyFill="1" borderId="0" applyBorder="1" xfId="415"/>
    <xf numFmtId="0" applyNumberFormat="1" fontId="4" applyFont="1" fillId="13" applyFill="1" borderId="0" applyBorder="1" xfId="416"/>
    <xf numFmtId="0" applyNumberFormat="1" fontId="4" applyFont="1" fillId="13" applyFill="1" borderId="0" applyBorder="1" xfId="417"/>
    <xf numFmtId="0" applyNumberFormat="1" fontId="4" applyFont="1" fillId="13" applyFill="1" borderId="0" applyBorder="1" xfId="418"/>
    <xf numFmtId="0" applyNumberFormat="1" fontId="4" applyFont="1" fillId="13" applyFill="1" borderId="0" applyBorder="1" xfId="419"/>
    <xf numFmtId="0" applyNumberFormat="1" fontId="4" applyFont="1" fillId="10" applyFill="1" borderId="0" applyBorder="1" xfId="420"/>
    <xf numFmtId="0" applyNumberFormat="1" fontId="4" applyFont="1" fillId="10" applyFill="1" borderId="0" applyBorder="1" xfId="421"/>
    <xf numFmtId="0" applyNumberFormat="1" fontId="4" applyFont="1" fillId="10" applyFill="1" borderId="0" applyBorder="1" xfId="422"/>
    <xf numFmtId="0" applyNumberFormat="1" fontId="4" applyFont="1" fillId="10" applyFill="1" borderId="0" applyBorder="1" xfId="423"/>
    <xf numFmtId="0" applyNumberFormat="1" fontId="4" applyFont="1" fillId="10" applyFill="1" borderId="0" applyBorder="1" xfId="424"/>
    <xf numFmtId="0" applyNumberFormat="1" fontId="4" applyFont="1" fillId="10" applyFill="1" borderId="0" applyBorder="1" xfId="425"/>
    <xf numFmtId="0" applyNumberFormat="1" fontId="4" applyFont="1" fillId="10" applyFill="1" borderId="0" applyBorder="1" xfId="426"/>
    <xf numFmtId="0" applyNumberFormat="1" fontId="4" applyFont="1" fillId="10" applyFill="1" borderId="0" applyBorder="1" xfId="427"/>
    <xf numFmtId="0" applyNumberFormat="1" fontId="4" applyFont="1" fillId="10" applyFill="1" borderId="0" applyBorder="1" xfId="428"/>
    <xf numFmtId="0" applyNumberFormat="1" fontId="4" applyFont="1" fillId="11" applyFill="1" borderId="0" applyBorder="1" xfId="429"/>
    <xf numFmtId="0" applyNumberFormat="1" fontId="4" applyFont="1" fillId="11" applyFill="1" borderId="0" applyBorder="1" xfId="430"/>
    <xf numFmtId="0" applyNumberFormat="1" fontId="4" applyFont="1" fillId="11" applyFill="1" borderId="0" applyBorder="1" xfId="431"/>
    <xf numFmtId="0" applyNumberFormat="1" fontId="4" applyFont="1" fillId="11" applyFill="1" borderId="0" applyBorder="1" xfId="432"/>
    <xf numFmtId="0" applyNumberFormat="1" fontId="4" applyFont="1" fillId="11" applyFill="1" borderId="0" applyBorder="1" xfId="433"/>
    <xf numFmtId="0" applyNumberFormat="1" fontId="4" applyFont="1" fillId="11" applyFill="1" borderId="0" applyBorder="1" xfId="434"/>
    <xf numFmtId="0" applyNumberFormat="1" fontId="4" applyFont="1" fillId="11" applyFill="1" borderId="0" applyBorder="1" xfId="435"/>
    <xf numFmtId="0" applyNumberFormat="1" fontId="4" applyFont="1" fillId="11" applyFill="1" borderId="0" applyBorder="1" xfId="436"/>
    <xf numFmtId="0" applyNumberFormat="1" fontId="4" applyFont="1" fillId="11" applyFill="1" borderId="0" applyBorder="1" xfId="437"/>
    <xf numFmtId="0" applyNumberFormat="1" fontId="4" applyFont="1" fillId="14" applyFill="1" borderId="0" applyBorder="1" xfId="438"/>
    <xf numFmtId="0" applyNumberFormat="1" fontId="4" applyFont="1" fillId="14" applyFill="1" borderId="0" applyBorder="1" xfId="439"/>
    <xf numFmtId="0" applyNumberFormat="1" fontId="4" applyFont="1" fillId="14" applyFill="1" borderId="0" applyBorder="1" xfId="440"/>
    <xf numFmtId="0" applyNumberFormat="1" fontId="4" applyFont="1" fillId="14" applyFill="1" borderId="0" applyBorder="1" xfId="441"/>
    <xf numFmtId="0" applyNumberFormat="1" fontId="4" applyFont="1" fillId="14" applyFill="1" borderId="0" applyBorder="1" xfId="442"/>
    <xf numFmtId="0" applyNumberFormat="1" fontId="4" applyFont="1" fillId="14" applyFill="1" borderId="0" applyBorder="1" xfId="443"/>
    <xf numFmtId="0" applyNumberFormat="1" fontId="4" applyFont="1" fillId="14" applyFill="1" borderId="0" applyBorder="1" xfId="444"/>
    <xf numFmtId="0" applyNumberFormat="1" fontId="4" applyFont="1" fillId="14" applyFill="1" borderId="0" applyBorder="1" xfId="445"/>
    <xf numFmtId="0" applyNumberFormat="1" fontId="4" applyFont="1" fillId="14" applyFill="1" borderId="0" applyBorder="1" xfId="446"/>
    <xf numFmtId="0" applyNumberFormat="1" fontId="4" applyFont="1" fillId="15" applyFill="1" borderId="0" applyBorder="1" xfId="447"/>
    <xf numFmtId="0" applyNumberFormat="1" fontId="4" applyFont="1" fillId="15" applyFill="1" borderId="0" applyBorder="1" xfId="448"/>
    <xf numFmtId="0" applyNumberFormat="1" fontId="4" applyFont="1" fillId="15" applyFill="1" borderId="0" applyBorder="1" xfId="449"/>
    <xf numFmtId="0" applyNumberFormat="1" fontId="4" applyFont="1" fillId="15" applyFill="1" borderId="0" applyBorder="1" xfId="450"/>
    <xf numFmtId="0" applyNumberFormat="1" fontId="4" applyFont="1" fillId="15" applyFill="1" borderId="0" applyBorder="1" xfId="451"/>
    <xf numFmtId="0" applyNumberFormat="1" fontId="4" applyFont="1" fillId="15" applyFill="1" borderId="0" applyBorder="1" xfId="452"/>
    <xf numFmtId="0" applyNumberFormat="1" fontId="4" applyFont="1" fillId="15" applyFill="1" borderId="0" applyBorder="1" xfId="453"/>
    <xf numFmtId="0" applyNumberFormat="1" fontId="4" applyFont="1" fillId="15" applyFill="1" borderId="0" applyBorder="1" xfId="454"/>
    <xf numFmtId="0" applyNumberFormat="1" fontId="4" applyFont="1" fillId="15" applyFill="1" borderId="0" applyBorder="1" xfId="455"/>
    <xf numFmtId="0" applyNumberFormat="1" fontId="4" applyFont="1" fillId="16" applyFill="1" borderId="0" applyBorder="1" xfId="456"/>
    <xf numFmtId="0" applyNumberFormat="1" fontId="4" applyFont="1" fillId="16" applyFill="1" borderId="0" applyBorder="1" xfId="457"/>
    <xf numFmtId="0" applyNumberFormat="1" fontId="4" applyFont="1" fillId="16" applyFill="1" borderId="0" applyBorder="1" xfId="458"/>
    <xf numFmtId="0" applyNumberFormat="1" fontId="4" applyFont="1" fillId="16" applyFill="1" borderId="0" applyBorder="1" xfId="459"/>
    <xf numFmtId="0" applyNumberFormat="1" fontId="4" applyFont="1" fillId="16" applyFill="1" borderId="0" applyBorder="1" xfId="460"/>
    <xf numFmtId="0" applyNumberFormat="1" fontId="4" applyFont="1" fillId="16" applyFill="1" borderId="0" applyBorder="1" xfId="461"/>
    <xf numFmtId="0" applyNumberFormat="1" fontId="4" applyFont="1" fillId="16" applyFill="1" borderId="0" applyBorder="1" xfId="462"/>
    <xf numFmtId="0" applyNumberFormat="1" fontId="4" applyFont="1" fillId="16" applyFill="1" borderId="0" applyBorder="1" xfId="463"/>
    <xf numFmtId="0" applyNumberFormat="1" fontId="4" applyFont="1" fillId="16" applyFill="1" borderId="0" applyBorder="1" xfId="464"/>
    <xf numFmtId="0" applyNumberFormat="1" fontId="4" applyFont="1" fillId="17" applyFill="1" borderId="0" applyBorder="1" xfId="465"/>
    <xf numFmtId="0" applyNumberFormat="1" fontId="4" applyFont="1" fillId="17" applyFill="1" borderId="0" applyBorder="1" xfId="466"/>
    <xf numFmtId="0" applyNumberFormat="1" fontId="4" applyFont="1" fillId="17" applyFill="1" borderId="0" applyBorder="1" xfId="467"/>
    <xf numFmtId="0" applyNumberFormat="1" fontId="4" applyFont="1" fillId="17" applyFill="1" borderId="0" applyBorder="1" xfId="468"/>
    <xf numFmtId="0" applyNumberFormat="1" fontId="4" applyFont="1" fillId="17" applyFill="1" borderId="0" applyBorder="1" xfId="469"/>
    <xf numFmtId="0" applyNumberFormat="1" fontId="4" applyFont="1" fillId="17" applyFill="1" borderId="0" applyBorder="1" xfId="470"/>
    <xf numFmtId="0" applyNumberFormat="1" fontId="4" applyFont="1" fillId="17" applyFill="1" borderId="0" applyBorder="1" xfId="471"/>
    <xf numFmtId="0" applyNumberFormat="1" fontId="4" applyFont="1" fillId="17" applyFill="1" borderId="0" applyBorder="1" xfId="472"/>
    <xf numFmtId="0" applyNumberFormat="1" fontId="4" applyFont="1" fillId="17" applyFill="1" borderId="0" applyBorder="1" xfId="473"/>
    <xf numFmtId="0" applyNumberFormat="1" fontId="4" applyFont="1" fillId="18" applyFill="1" borderId="0" applyBorder="1" xfId="474"/>
    <xf numFmtId="0" applyNumberFormat="1" fontId="4" applyFont="1" fillId="18" applyFill="1" borderId="0" applyBorder="1" xfId="475"/>
    <xf numFmtId="0" applyNumberFormat="1" fontId="4" applyFont="1" fillId="18" applyFill="1" borderId="0" applyBorder="1" xfId="476"/>
    <xf numFmtId="0" applyNumberFormat="1" fontId="4" applyFont="1" fillId="18" applyFill="1" borderId="0" applyBorder="1" xfId="477"/>
    <xf numFmtId="0" applyNumberFormat="1" fontId="4" applyFont="1" fillId="18" applyFill="1" borderId="0" applyBorder="1" xfId="478"/>
    <xf numFmtId="0" applyNumberFormat="1" fontId="4" applyFont="1" fillId="18" applyFill="1" borderId="0" applyBorder="1" xfId="479"/>
    <xf numFmtId="0" applyNumberFormat="1" fontId="4" applyFont="1" fillId="18" applyFill="1" borderId="0" applyBorder="1" xfId="480"/>
    <xf numFmtId="0" applyNumberFormat="1" fontId="4" applyFont="1" fillId="18" applyFill="1" borderId="0" applyBorder="1" xfId="481"/>
    <xf numFmtId="0" applyNumberFormat="1" fontId="4" applyFont="1" fillId="18" applyFill="1" borderId="0" applyBorder="1" xfId="482"/>
    <xf numFmtId="0" applyNumberFormat="1" fontId="4" applyFont="1" fillId="19" applyFill="1" borderId="0" applyBorder="1" xfId="483"/>
    <xf numFmtId="0" applyNumberFormat="1" fontId="4" applyFont="1" fillId="19" applyFill="1" borderId="0" applyBorder="1" xfId="484"/>
    <xf numFmtId="0" applyNumberFormat="1" fontId="4" applyFont="1" fillId="19" applyFill="1" borderId="0" applyBorder="1" xfId="485"/>
    <xf numFmtId="0" applyNumberFormat="1" fontId="4" applyFont="1" fillId="19" applyFill="1" borderId="0" applyBorder="1" xfId="486"/>
    <xf numFmtId="0" applyNumberFormat="1" fontId="4" applyFont="1" fillId="19" applyFill="1" borderId="0" applyBorder="1" xfId="487"/>
    <xf numFmtId="0" applyNumberFormat="1" fontId="4" applyFont="1" fillId="19" applyFill="1" borderId="0" applyBorder="1" xfId="488"/>
    <xf numFmtId="0" applyNumberFormat="1" fontId="4" applyFont="1" fillId="19" applyFill="1" borderId="0" applyBorder="1" xfId="489"/>
    <xf numFmtId="0" applyNumberFormat="1" fontId="4" applyFont="1" fillId="19" applyFill="1" borderId="0" applyBorder="1" xfId="490"/>
    <xf numFmtId="0" applyNumberFormat="1" fontId="4" applyFont="1" fillId="19" applyFill="1" borderId="0" applyBorder="1" xfId="491"/>
    <xf numFmtId="0" applyNumberFormat="1" fontId="4" applyFont="1" fillId="14" applyFill="1" borderId="0" applyBorder="1" xfId="492"/>
    <xf numFmtId="0" applyNumberFormat="1" fontId="4" applyFont="1" fillId="14" applyFill="1" borderId="0" applyBorder="1" xfId="493"/>
    <xf numFmtId="0" applyNumberFormat="1" fontId="4" applyFont="1" fillId="14" applyFill="1" borderId="0" applyBorder="1" xfId="494"/>
    <xf numFmtId="0" applyNumberFormat="1" fontId="4" applyFont="1" fillId="14" applyFill="1" borderId="0" applyBorder="1" xfId="495"/>
    <xf numFmtId="0" applyNumberFormat="1" fontId="4" applyFont="1" fillId="14" applyFill="1" borderId="0" applyBorder="1" xfId="496"/>
    <xf numFmtId="0" applyNumberFormat="1" fontId="4" applyFont="1" fillId="14" applyFill="1" borderId="0" applyBorder="1" xfId="497"/>
    <xf numFmtId="0" applyNumberFormat="1" fontId="4" applyFont="1" fillId="14" applyFill="1" borderId="0" applyBorder="1" xfId="498"/>
    <xf numFmtId="0" applyNumberFormat="1" fontId="4" applyFont="1" fillId="14" applyFill="1" borderId="0" applyBorder="1" xfId="499"/>
    <xf numFmtId="0" applyNumberFormat="1" fontId="4" applyFont="1" fillId="14" applyFill="1" borderId="0" applyBorder="1" xfId="500"/>
    <xf numFmtId="0" applyNumberFormat="1" fontId="4" applyFont="1" fillId="15" applyFill="1" borderId="0" applyBorder="1" xfId="501"/>
    <xf numFmtId="0" applyNumberFormat="1" fontId="4" applyFont="1" fillId="15" applyFill="1" borderId="0" applyBorder="1" xfId="502"/>
    <xf numFmtId="0" applyNumberFormat="1" fontId="4" applyFont="1" fillId="15" applyFill="1" borderId="0" applyBorder="1" xfId="503"/>
    <xf numFmtId="0" applyNumberFormat="1" fontId="4" applyFont="1" fillId="15" applyFill="1" borderId="0" applyBorder="1" xfId="504"/>
    <xf numFmtId="0" applyNumberFormat="1" fontId="4" applyFont="1" fillId="15" applyFill="1" borderId="0" applyBorder="1" xfId="505"/>
    <xf numFmtId="0" applyNumberFormat="1" fontId="4" applyFont="1" fillId="15" applyFill="1" borderId="0" applyBorder="1" xfId="506"/>
    <xf numFmtId="0" applyNumberFormat="1" fontId="4" applyFont="1" fillId="15" applyFill="1" borderId="0" applyBorder="1" xfId="507"/>
    <xf numFmtId="0" applyNumberFormat="1" fontId="4" applyFont="1" fillId="15" applyFill="1" borderId="0" applyBorder="1" xfId="508"/>
    <xf numFmtId="0" applyNumberFormat="1" fontId="4" applyFont="1" fillId="15" applyFill="1" borderId="0" applyBorder="1" xfId="509"/>
    <xf numFmtId="0" applyNumberFormat="1" fontId="4" applyFont="1" fillId="20" applyFill="1" borderId="0" applyBorder="1" xfId="510"/>
    <xf numFmtId="0" applyNumberFormat="1" fontId="4" applyFont="1" fillId="20" applyFill="1" borderId="0" applyBorder="1" xfId="511"/>
    <xf numFmtId="0" applyNumberFormat="1" fontId="4" applyFont="1" fillId="20" applyFill="1" borderId="0" applyBorder="1" xfId="512"/>
    <xf numFmtId="0" applyNumberFormat="1" fontId="4" applyFont="1" fillId="20" applyFill="1" borderId="0" applyBorder="1" xfId="513"/>
    <xf numFmtId="0" applyNumberFormat="1" fontId="4" applyFont="1" fillId="20" applyFill="1" borderId="0" applyBorder="1" xfId="514"/>
    <xf numFmtId="0" applyNumberFormat="1" fontId="4" applyFont="1" fillId="20" applyFill="1" borderId="0" applyBorder="1" xfId="515"/>
    <xf numFmtId="0" applyNumberFormat="1" fontId="4" applyFont="1" fillId="20" applyFill="1" borderId="0" applyBorder="1" xfId="516"/>
    <xf numFmtId="0" applyNumberFormat="1" fontId="4" applyFont="1" fillId="20" applyFill="1" borderId="0" applyBorder="1" xfId="517"/>
    <xf numFmtId="0" applyNumberFormat="1" fontId="4" applyFont="1" fillId="20" applyFill="1" borderId="0" applyBorder="1" xfId="518"/>
    <xf numFmtId="0" applyNumberFormat="1" fontId="5" applyFont="1" fillId="4" applyFill="1" borderId="0" applyBorder="1" xfId="519"/>
    <xf numFmtId="0" applyNumberFormat="1" fontId="5" applyFont="1" fillId="4" applyFill="1" borderId="0" applyBorder="1" xfId="520"/>
    <xf numFmtId="0" applyNumberFormat="1" fontId="5" applyFont="1" fillId="4" applyFill="1" borderId="0" applyBorder="1" xfId="521"/>
    <xf numFmtId="0" applyNumberFormat="1" fontId="5" applyFont="1" fillId="4" applyFill="1" borderId="0" applyBorder="1" xfId="522"/>
    <xf numFmtId="0" applyNumberFormat="1" fontId="5" applyFont="1" fillId="4" applyFill="1" borderId="0" applyBorder="1" xfId="523"/>
    <xf numFmtId="0" applyNumberFormat="1" fontId="5" applyFont="1" fillId="4" applyFill="1" borderId="0" applyBorder="1" xfId="524"/>
    <xf numFmtId="0" applyNumberFormat="1" fontId="5" applyFont="1" fillId="4" applyFill="1" borderId="0" applyBorder="1" xfId="525"/>
    <xf numFmtId="0" applyNumberFormat="1" fontId="5" applyFont="1" fillId="4" applyFill="1" borderId="0" applyBorder="1" xfId="526"/>
    <xf numFmtId="0" applyNumberFormat="1" fontId="5" applyFont="1" fillId="4" applyFill="1" borderId="0" applyBorder="1" xfId="527"/>
    <xf numFmtId="0" applyNumberFormat="1" fontId="6" applyFont="1" fillId="21" applyFill="1" borderId="3" applyBorder="1" xfId="528"/>
    <xf numFmtId="0" applyNumberFormat="1" fontId="6" applyFont="1" fillId="21" applyFill="1" borderId="3" applyBorder="1" xfId="529"/>
    <xf numFmtId="0" applyNumberFormat="1" fontId="6" applyFont="1" fillId="21" applyFill="1" borderId="3" applyBorder="1" xfId="530"/>
    <xf numFmtId="0" applyNumberFormat="1" fontId="6" applyFont="1" fillId="21" applyFill="1" borderId="3" applyBorder="1" xfId="531"/>
    <xf numFmtId="0" applyNumberFormat="1" fontId="6" applyFont="1" fillId="21" applyFill="1" borderId="3" applyBorder="1" xfId="532"/>
    <xf numFmtId="0" applyNumberFormat="1" fontId="6" applyFont="1" fillId="21" applyFill="1" borderId="3" applyBorder="1" xfId="533"/>
    <xf numFmtId="0" applyNumberFormat="1" fontId="6" applyFont="1" fillId="21" applyFill="1" borderId="3" applyBorder="1" xfId="534"/>
    <xf numFmtId="0" applyNumberFormat="1" fontId="6" applyFont="1" fillId="21" applyFill="1" borderId="3" applyBorder="1" xfId="535"/>
    <xf numFmtId="0" applyNumberFormat="1" fontId="6" applyFont="1" fillId="21" applyFill="1" borderId="3" applyBorder="1" xfId="536"/>
    <xf numFmtId="0" applyNumberFormat="1" fontId="7" applyFont="1" fillId="22" applyFill="1" borderId="4" applyBorder="1" xfId="537"/>
    <xf numFmtId="0" applyNumberFormat="1" fontId="7" applyFont="1" fillId="22" applyFill="1" borderId="4" applyBorder="1" xfId="538"/>
    <xf numFmtId="0" applyNumberFormat="1" fontId="7" applyFont="1" fillId="22" applyFill="1" borderId="4" applyBorder="1" xfId="539"/>
    <xf numFmtId="0" applyNumberFormat="1" fontId="7" applyFont="1" fillId="22" applyFill="1" borderId="4" applyBorder="1" xfId="540"/>
    <xf numFmtId="0" applyNumberFormat="1" fontId="7" applyFont="1" fillId="22" applyFill="1" borderId="4" applyBorder="1" xfId="541"/>
    <xf numFmtId="0" applyNumberFormat="1" fontId="7" applyFont="1" fillId="22" applyFill="1" borderId="4" applyBorder="1" xfId="542"/>
    <xf numFmtId="0" applyNumberFormat="1" fontId="7" applyFont="1" fillId="22" applyFill="1" borderId="4" applyBorder="1" xfId="543"/>
    <xf numFmtId="0" applyNumberFormat="1" fontId="7" applyFont="1" fillId="22" applyFill="1" borderId="4" applyBorder="1" xfId="544"/>
    <xf numFmtId="0" applyNumberFormat="1" fontId="7" applyFont="1" fillId="22" applyFill="1" borderId="4" applyBorder="1" xfId="545"/>
    <xf numFmtId="43" applyNumberFormat="1" fontId="1" applyFont="1" fillId="0" applyFill="1" borderId="0" applyBorder="1" xfId="546"/>
    <xf numFmtId="41" applyNumberFormat="1" fontId="2" applyFont="1" fillId="0" applyFill="1" borderId="0" applyBorder="1" xfId="547"/>
    <xf numFmtId="41" applyNumberFormat="1" fontId="3" applyFont="1" fillId="0" applyFill="1" borderId="0" applyBorder="1" xfId="548"/>
    <xf numFmtId="41" applyNumberFormat="1" fontId="3" applyFont="1" fillId="0" applyFill="1" borderId="0" applyBorder="1" xfId="549"/>
    <xf numFmtId="41" applyNumberFormat="1" fontId="3" applyFont="1" fillId="0" applyFill="1" borderId="0" applyBorder="1" xfId="550"/>
    <xf numFmtId="41" applyNumberFormat="1" fontId="3" applyFont="1" fillId="0" applyFill="1" borderId="0" applyBorder="1" xfId="551"/>
    <xf numFmtId="41" applyNumberFormat="1" fontId="3" applyFont="1" fillId="0" applyFill="1" borderId="0" applyBorder="1" xfId="552"/>
    <xf numFmtId="41" applyNumberFormat="1" fontId="3" applyFont="1" fillId="0" applyFill="1" borderId="0" applyBorder="1" xfId="553"/>
    <xf numFmtId="41" applyNumberFormat="1" fontId="3" applyFont="1" fillId="0" applyFill="1" borderId="0" applyBorder="1" xfId="554"/>
    <xf numFmtId="41" applyNumberFormat="1" fontId="3" applyFont="1" fillId="0" applyFill="1" borderId="0" applyBorder="1" xfId="555"/>
    <xf numFmtId="41" applyNumberFormat="1" fontId="3" applyFont="1" fillId="0" applyFill="1" borderId="0" applyBorder="1" xfId="556"/>
    <xf numFmtId="41" applyNumberFormat="1" fontId="1" applyFont="1" fillId="0" applyFill="1" borderId="0" applyBorder="1" xfId="557"/>
    <xf numFmtId="41" applyNumberFormat="1" fontId="3" applyFont="1" fillId="0" applyFill="1" borderId="0" applyBorder="1" xfId="558"/>
    <xf numFmtId="41" applyNumberFormat="1" fontId="3" applyFont="1" fillId="0" applyFill="1" borderId="0" applyBorder="1" xfId="559"/>
    <xf numFmtId="41" applyNumberFormat="1" fontId="3" applyFont="1" fillId="0" applyFill="1" borderId="0" applyBorder="1" xfId="560"/>
    <xf numFmtId="41" applyNumberFormat="1" fontId="3" applyFont="1" fillId="0" applyFill="1" borderId="0" applyBorder="1" xfId="561"/>
    <xf numFmtId="43" applyNumberFormat="1" fontId="2" applyFont="1" fillId="0" applyFill="1" borderId="0" applyBorder="1" xfId="562"/>
    <xf numFmtId="43" applyNumberFormat="1" fontId="2" applyFont="1" fillId="0" applyFill="1" borderId="0" applyBorder="1" xfId="563"/>
    <xf numFmtId="43" applyNumberFormat="1" fontId="2" applyFont="1" fillId="0" applyFill="1" borderId="0" applyBorder="1" xfId="564"/>
    <xf numFmtId="43" applyNumberFormat="1" fontId="2" applyFont="1" fillId="0" applyFill="1" borderId="0" applyBorder="1" xfId="565"/>
    <xf numFmtId="43" applyNumberFormat="1" fontId="2" applyFont="1" fillId="0" applyFill="1" borderId="0" applyBorder="1" xfId="566"/>
    <xf numFmtId="43" applyNumberFormat="1" fontId="2" applyFont="1" fillId="0" applyFill="1" borderId="0" applyBorder="1" xfId="567"/>
    <xf numFmtId="43" applyNumberFormat="1" fontId="2" applyFont="1" fillId="0" applyFill="1" borderId="0" applyBorder="1" xfId="568"/>
    <xf numFmtId="43" applyNumberFormat="1" fontId="1" applyFont="1" fillId="0" applyFill="1" borderId="0" applyBorder="1" xfId="569"/>
    <xf numFmtId="43" applyNumberFormat="1" fontId="1" applyFont="1" fillId="0" applyFill="1" borderId="0" applyBorder="1" xfId="570"/>
    <xf numFmtId="43" applyNumberFormat="1" fontId="3" applyFont="1" fillId="0" applyFill="1" borderId="0" applyBorder="1" xfId="571"/>
    <xf numFmtId="43" applyNumberFormat="1" fontId="3" applyFont="1" fillId="0" applyFill="1" borderId="0" applyBorder="1" xfId="572"/>
    <xf numFmtId="43" applyNumberFormat="1" fontId="3" applyFont="1" fillId="0" applyFill="1" borderId="0" applyBorder="1" xfId="573"/>
    <xf numFmtId="43" applyNumberFormat="1" fontId="3" applyFont="1" fillId="0" applyFill="1" borderId="0" applyBorder="1" xfId="574"/>
    <xf numFmtId="43" applyNumberFormat="1" fontId="2" applyFont="1" fillId="0" applyFill="1" borderId="0" applyBorder="1" xfId="575"/>
    <xf numFmtId="43" applyNumberFormat="1" fontId="3" applyFont="1" fillId="0" applyFill="1" borderId="0" applyBorder="1" xfId="576"/>
    <xf numFmtId="43" applyNumberFormat="1" fontId="2" applyFont="1" fillId="0" applyFill="1" borderId="0" applyBorder="1" xfId="577"/>
    <xf numFmtId="43" applyNumberFormat="1" fontId="3" applyFont="1" fillId="0" applyFill="1" borderId="0" applyBorder="1" xfId="578"/>
    <xf numFmtId="43" applyNumberFormat="1" fontId="3" applyFont="1" fillId="0" applyFill="1" borderId="0" applyBorder="1" xfId="579"/>
    <xf numFmtId="43" applyNumberFormat="1" fontId="3" applyFont="1" fillId="0" applyFill="1" borderId="0" applyBorder="1" xfId="580"/>
    <xf numFmtId="43" applyNumberFormat="1" fontId="3" applyFont="1" fillId="0" applyFill="1" borderId="0" applyBorder="1" xfId="581"/>
    <xf numFmtId="43" applyNumberFormat="1" fontId="3" applyFont="1" fillId="0" applyFill="1" borderId="0" applyBorder="1" xfId="582"/>
    <xf numFmtId="43" applyNumberFormat="1" fontId="3" applyFont="1" fillId="0" applyFill="1" borderId="0" applyBorder="1" xfId="583"/>
    <xf numFmtId="43" applyNumberFormat="1" fontId="3" applyFont="1" fillId="0" applyFill="1" borderId="0" applyBorder="1" xfId="584"/>
    <xf numFmtId="43" applyNumberFormat="1" fontId="1" applyFont="1" fillId="0" applyFill="1" borderId="0" applyBorder="1" xfId="585"/>
    <xf numFmtId="43" applyNumberFormat="1" fontId="3" applyFont="1" fillId="0" applyFill="1" borderId="0" applyBorder="1" xfId="586"/>
    <xf numFmtId="43" applyNumberFormat="1" fontId="3" applyFont="1" fillId="0" applyFill="1" borderId="0" applyBorder="1" xfId="587"/>
    <xf numFmtId="43" applyNumberFormat="1" fontId="3" applyFont="1" fillId="0" applyFill="1" borderId="0" applyBorder="1" xfId="588"/>
    <xf numFmtId="43" applyNumberFormat="1" fontId="3" applyFont="1" fillId="0" applyFill="1" borderId="0" applyBorder="1" xfId="589"/>
    <xf numFmtId="43" applyNumberFormat="1" fontId="3" applyFont="1" fillId="0" applyFill="1" borderId="0" applyBorder="1" xfId="590"/>
    <xf numFmtId="43" applyNumberFormat="1" fontId="3" applyFont="1" fillId="0" applyFill="1" borderId="0" applyBorder="1" xfId="591"/>
    <xf numFmtId="43" applyNumberFormat="1" fontId="3" applyFont="1" fillId="0" applyFill="1" borderId="0" applyBorder="1" xfId="592"/>
    <xf numFmtId="43" applyNumberFormat="1" fontId="3" applyFont="1" fillId="0" applyFill="1" borderId="0" applyBorder="1" xfId="593"/>
    <xf numFmtId="43" applyNumberFormat="1" fontId="3" applyFont="1" fillId="0" applyFill="1" borderId="0" applyBorder="1" xfId="594"/>
    <xf numFmtId="43" applyNumberFormat="1" fontId="3" applyFont="1" fillId="0" applyFill="1" borderId="0" applyBorder="1" xfId="595"/>
    <xf numFmtId="43" applyNumberFormat="1" fontId="3" applyFont="1" fillId="0" applyFill="1" borderId="0" applyBorder="1" xfId="596"/>
    <xf numFmtId="43" applyNumberFormat="1" fontId="3" applyFont="1" fillId="0" applyFill="1" borderId="0" applyBorder="1" xfId="597"/>
    <xf numFmtId="43" applyNumberFormat="1" fontId="3" applyFont="1" fillId="0" applyFill="1" borderId="0" applyBorder="1" xfId="598"/>
    <xf numFmtId="44" applyNumberFormat="1" fontId="2" applyFont="1" fillId="0" applyFill="1" borderId="0" applyBorder="1" xfId="599"/>
    <xf numFmtId="44" applyNumberFormat="1" fontId="3" applyFont="1" fillId="0" applyFill="1" borderId="0" applyBorder="1" xfId="600"/>
    <xf numFmtId="44" applyNumberFormat="1" fontId="3" applyFont="1" fillId="0" applyFill="1" borderId="0" applyBorder="1" xfId="601"/>
    <xf numFmtId="44" applyNumberFormat="1" fontId="3" applyFont="1" fillId="0" applyFill="1" borderId="0" applyBorder="1" xfId="602"/>
    <xf numFmtId="44" applyNumberFormat="1" fontId="3" applyFont="1" fillId="0" applyFill="1" borderId="0" applyBorder="1" xfId="603"/>
    <xf numFmtId="44" applyNumberFormat="1" fontId="3" applyFont="1" fillId="0" applyFill="1" borderId="0" applyBorder="1" xfId="604"/>
    <xf numFmtId="44" applyNumberFormat="1" fontId="3" applyFont="1" fillId="0" applyFill="1" borderId="0" applyBorder="1" xfId="605"/>
    <xf numFmtId="44" applyNumberFormat="1" fontId="3" applyFont="1" fillId="0" applyFill="1" borderId="0" applyBorder="1" xfId="606"/>
    <xf numFmtId="44" applyNumberFormat="1" fontId="3" applyFont="1" fillId="0" applyFill="1" borderId="0" applyBorder="1" xfId="607"/>
    <xf numFmtId="44" applyNumberFormat="1" fontId="2" applyFont="1" fillId="0" applyFill="1" borderId="0" applyBorder="1" xfId="608"/>
    <xf numFmtId="44" applyNumberFormat="1" fontId="3" applyFont="1" fillId="0" applyFill="1" borderId="0" applyBorder="1" xfId="609"/>
    <xf numFmtId="44" applyNumberFormat="1" fontId="3" applyFont="1" fillId="0" applyFill="1" borderId="0" applyBorder="1" xfId="610"/>
    <xf numFmtId="44" applyNumberFormat="1" fontId="3" applyFont="1" fillId="0" applyFill="1" borderId="0" applyBorder="1" xfId="611"/>
    <xf numFmtId="44" applyNumberFormat="1" fontId="3" applyFont="1" fillId="0" applyFill="1" borderId="0" applyBorder="1" xfId="612"/>
    <xf numFmtId="44" applyNumberFormat="1" fontId="3" applyFont="1" fillId="0" applyFill="1" borderId="0" applyBorder="1" xfId="613"/>
    <xf numFmtId="44" applyNumberFormat="1" fontId="1" applyFont="1" fillId="0" applyFill="1" borderId="0" applyBorder="1" xfId="614"/>
    <xf numFmtId="44" applyNumberFormat="1" fontId="3" applyFont="1" fillId="0" applyFill="1" borderId="0" applyBorder="1" xfId="615"/>
    <xf numFmtId="44" applyNumberFormat="1" fontId="3" applyFont="1" fillId="0" applyFill="1" borderId="0" applyBorder="1" xfId="616"/>
    <xf numFmtId="44" applyNumberFormat="1" fontId="3" applyFont="1" fillId="0" applyFill="1" borderId="0" applyBorder="1" xfId="617"/>
    <xf numFmtId="44" applyNumberFormat="1" fontId="2" applyFont="1" fillId="0" applyFill="1" borderId="0" applyBorder="1" xfId="618"/>
    <xf numFmtId="44" applyNumberFormat="1" fontId="3" applyFont="1" fillId="0" applyFill="1" borderId="0" applyBorder="1" xfId="619"/>
    <xf numFmtId="44" applyNumberFormat="1" fontId="2" applyFont="1" fillId="0" applyFill="1" borderId="0" applyBorder="1" xfId="620"/>
    <xf numFmtId="44" applyNumberFormat="1" fontId="1" applyFont="1" fillId="0" applyFill="1" borderId="0" applyBorder="1" xfId="621"/>
    <xf numFmtId="44" applyNumberFormat="1" fontId="3" applyFont="1" fillId="0" applyFill="1" borderId="0" applyBorder="1" xfId="622"/>
    <xf numFmtId="0" applyNumberFormat="1" fontId="8" applyFont="1" fillId="0" applyFill="1" borderId="0" applyBorder="1" xfId="623"/>
    <xf numFmtId="0" applyNumberFormat="1" fontId="8" applyFont="1" fillId="0" applyFill="1" borderId="0" applyBorder="1" xfId="624"/>
    <xf numFmtId="0" applyNumberFormat="1" fontId="8" applyFont="1" fillId="0" applyFill="1" borderId="0" applyBorder="1" xfId="625"/>
    <xf numFmtId="0" applyNumberFormat="1" fontId="8" applyFont="1" fillId="0" applyFill="1" borderId="0" applyBorder="1" xfId="626"/>
    <xf numFmtId="0" applyNumberFormat="1" fontId="8" applyFont="1" fillId="0" applyFill="1" borderId="0" applyBorder="1" xfId="627"/>
    <xf numFmtId="0" applyNumberFormat="1" fontId="8" applyFont="1" fillId="0" applyFill="1" borderId="0" applyBorder="1" xfId="628"/>
    <xf numFmtId="0" applyNumberFormat="1" fontId="8" applyFont="1" fillId="0" applyFill="1" borderId="0" applyBorder="1" xfId="629"/>
    <xf numFmtId="0" applyNumberFormat="1" fontId="8" applyFont="1" fillId="0" applyFill="1" borderId="0" applyBorder="1" xfId="630"/>
    <xf numFmtId="0" applyNumberFormat="1" fontId="8" applyFont="1" fillId="0" applyFill="1" borderId="0" applyBorder="1" xfId="631"/>
    <xf numFmtId="0" applyNumberFormat="1" fontId="9" applyFont="1" fillId="5" applyFill="1" borderId="0" applyBorder="1" xfId="632"/>
    <xf numFmtId="0" applyNumberFormat="1" fontId="9" applyFont="1" fillId="5" applyFill="1" borderId="0" applyBorder="1" xfId="633"/>
    <xf numFmtId="0" applyNumberFormat="1" fontId="9" applyFont="1" fillId="5" applyFill="1" borderId="0" applyBorder="1" xfId="634"/>
    <xf numFmtId="0" applyNumberFormat="1" fontId="9" applyFont="1" fillId="5" applyFill="1" borderId="0" applyBorder="1" xfId="635"/>
    <xf numFmtId="0" applyNumberFormat="1" fontId="9" applyFont="1" fillId="5" applyFill="1" borderId="0" applyBorder="1" xfId="636"/>
    <xf numFmtId="0" applyNumberFormat="1" fontId="9" applyFont="1" fillId="5" applyFill="1" borderId="0" applyBorder="1" xfId="637"/>
    <xf numFmtId="0" applyNumberFormat="1" fontId="9" applyFont="1" fillId="5" applyFill="1" borderId="0" applyBorder="1" xfId="638"/>
    <xf numFmtId="0" applyNumberFormat="1" fontId="9" applyFont="1" fillId="5" applyFill="1" borderId="0" applyBorder="1" xfId="639"/>
    <xf numFmtId="0" applyNumberFormat="1" fontId="9" applyFont="1" fillId="5" applyFill="1" borderId="0" applyBorder="1" xfId="640"/>
    <xf numFmtId="0" applyNumberFormat="1" fontId="10" applyFont="1" fillId="0" applyFill="1" borderId="5" applyBorder="1" xfId="641"/>
    <xf numFmtId="0" applyNumberFormat="1" fontId="10" applyFont="1" fillId="0" applyFill="1" borderId="5" applyBorder="1" xfId="642"/>
    <xf numFmtId="0" applyNumberFormat="1" fontId="10" applyFont="1" fillId="0" applyFill="1" borderId="5" applyBorder="1" xfId="643"/>
    <xf numFmtId="0" applyNumberFormat="1" fontId="10" applyFont="1" fillId="0" applyFill="1" borderId="5" applyBorder="1" xfId="644"/>
    <xf numFmtId="0" applyNumberFormat="1" fontId="10" applyFont="1" fillId="0" applyFill="1" borderId="5" applyBorder="1" xfId="645"/>
    <xf numFmtId="0" applyNumberFormat="1" fontId="10" applyFont="1" fillId="0" applyFill="1" borderId="5" applyBorder="1" xfId="646"/>
    <xf numFmtId="0" applyNumberFormat="1" fontId="10" applyFont="1" fillId="0" applyFill="1" borderId="5" applyBorder="1" xfId="647"/>
    <xf numFmtId="0" applyNumberFormat="1" fontId="10" applyFont="1" fillId="0" applyFill="1" borderId="5" applyBorder="1" xfId="648"/>
    <xf numFmtId="0" applyNumberFormat="1" fontId="10" applyFont="1" fillId="0" applyFill="1" borderId="5" applyBorder="1" xfId="649"/>
    <xf numFmtId="0" applyNumberFormat="1" fontId="11" applyFont="1" fillId="0" applyFill="1" borderId="6" applyBorder="1" xfId="650"/>
    <xf numFmtId="0" applyNumberFormat="1" fontId="11" applyFont="1" fillId="0" applyFill="1" borderId="6" applyBorder="1" xfId="651"/>
    <xf numFmtId="0" applyNumberFormat="1" fontId="11" applyFont="1" fillId="0" applyFill="1" borderId="6" applyBorder="1" xfId="652"/>
    <xf numFmtId="0" applyNumberFormat="1" fontId="11" applyFont="1" fillId="0" applyFill="1" borderId="6" applyBorder="1" xfId="653"/>
    <xf numFmtId="0" applyNumberFormat="1" fontId="11" applyFont="1" fillId="0" applyFill="1" borderId="6" applyBorder="1" xfId="654"/>
    <xf numFmtId="0" applyNumberFormat="1" fontId="11" applyFont="1" fillId="0" applyFill="1" borderId="6" applyBorder="1" xfId="655"/>
    <xf numFmtId="0" applyNumberFormat="1" fontId="11" applyFont="1" fillId="0" applyFill="1" borderId="6" applyBorder="1" xfId="656"/>
    <xf numFmtId="0" applyNumberFormat="1" fontId="11" applyFont="1" fillId="0" applyFill="1" borderId="6" applyBorder="1" xfId="657"/>
    <xf numFmtId="0" applyNumberFormat="1" fontId="11" applyFont="1" fillId="0" applyFill="1" borderId="6" applyBorder="1" xfId="658"/>
    <xf numFmtId="0" applyNumberFormat="1" fontId="12" applyFont="1" fillId="0" applyFill="1" borderId="7" applyBorder="1" xfId="659"/>
    <xf numFmtId="0" applyNumberFormat="1" fontId="12" applyFont="1" fillId="0" applyFill="1" borderId="7" applyBorder="1" xfId="660"/>
    <xf numFmtId="0" applyNumberFormat="1" fontId="12" applyFont="1" fillId="0" applyFill="1" borderId="7" applyBorder="1" xfId="661"/>
    <xf numFmtId="0" applyNumberFormat="1" fontId="12" applyFont="1" fillId="0" applyFill="1" borderId="7" applyBorder="1" xfId="662"/>
    <xf numFmtId="0" applyNumberFormat="1" fontId="12" applyFont="1" fillId="0" applyFill="1" borderId="7" applyBorder="1" xfId="663"/>
    <xf numFmtId="0" applyNumberFormat="1" fontId="12" applyFont="1" fillId="0" applyFill="1" borderId="7" applyBorder="1" xfId="664"/>
    <xf numFmtId="0" applyNumberFormat="1" fontId="12" applyFont="1" fillId="0" applyFill="1" borderId="7" applyBorder="1" xfId="665"/>
    <xf numFmtId="0" applyNumberFormat="1" fontId="12" applyFont="1" fillId="0" applyFill="1" borderId="7" applyBorder="1" xfId="666"/>
    <xf numFmtId="0" applyNumberFormat="1" fontId="12" applyFont="1" fillId="0" applyFill="1" borderId="7" applyBorder="1" xfId="667"/>
    <xf numFmtId="0" applyNumberFormat="1" fontId="12" applyFont="1" fillId="0" applyFill="1" borderId="0" applyBorder="1" xfId="668"/>
    <xf numFmtId="0" applyNumberFormat="1" fontId="12" applyFont="1" fillId="0" applyFill="1" borderId="0" applyBorder="1" xfId="669"/>
    <xf numFmtId="0" applyNumberFormat="1" fontId="12" applyFont="1" fillId="0" applyFill="1" borderId="0" applyBorder="1" xfId="670"/>
    <xf numFmtId="0" applyNumberFormat="1" fontId="12" applyFont="1" fillId="0" applyFill="1" borderId="0" applyBorder="1" xfId="671"/>
    <xf numFmtId="0" applyNumberFormat="1" fontId="12" applyFont="1" fillId="0" applyFill="1" borderId="0" applyBorder="1" xfId="672"/>
    <xf numFmtId="0" applyNumberFormat="1" fontId="12" applyFont="1" fillId="0" applyFill="1" borderId="0" applyBorder="1" xfId="673"/>
    <xf numFmtId="0" applyNumberFormat="1" fontId="12" applyFont="1" fillId="0" applyFill="1" borderId="0" applyBorder="1" xfId="674"/>
    <xf numFmtId="0" applyNumberFormat="1" fontId="12" applyFont="1" fillId="0" applyFill="1" borderId="0" applyBorder="1" xfId="675"/>
    <xf numFmtId="0" applyNumberFormat="1" fontId="12" applyFont="1" fillId="0" applyFill="1" borderId="0" applyBorder="1" xfId="676"/>
    <xf numFmtId="0" applyNumberFormat="1" fontId="13" applyFont="1" fillId="0" applyFill="1" borderId="0" applyBorder="1" xfId="677"/>
    <xf numFmtId="0" applyNumberFormat="1" fontId="13" applyFont="1" fillId="0" applyFill="1" borderId="0" applyBorder="1" xfId="678"/>
    <xf numFmtId="0" applyNumberFormat="1" fontId="14" applyFont="1" fillId="0" applyFill="1" borderId="0" applyBorder="1" xfId="679">
      <alignment vertical="top"/>
      <protection locked="0"/>
    </xf>
    <xf numFmtId="0" applyNumberFormat="1" fontId="14" applyFont="1" fillId="0" applyFill="1" borderId="0" applyBorder="1" xfId="680">
      <alignment vertical="top"/>
      <protection locked="0"/>
    </xf>
    <xf numFmtId="0" applyNumberFormat="1" fontId="14" applyFont="1" fillId="0" applyFill="1" borderId="0" applyBorder="1" xfId="681">
      <alignment vertical="top"/>
      <protection locked="0"/>
    </xf>
    <xf numFmtId="0" applyNumberFormat="1" fontId="14" applyFont="1" fillId="0" applyFill="1" borderId="0" applyBorder="1" xfId="682">
      <alignment vertical="top"/>
      <protection locked="0"/>
    </xf>
    <xf numFmtId="0" applyNumberFormat="1" fontId="15" applyFont="1" fillId="0" applyFill="1" borderId="0" applyBorder="1" xfId="683">
      <alignment vertical="top"/>
      <protection locked="0"/>
    </xf>
    <xf numFmtId="0" applyNumberFormat="1" fontId="15" applyFont="1" fillId="0" applyFill="1" borderId="0" applyBorder="1" xfId="684">
      <alignment vertical="top"/>
      <protection locked="0"/>
    </xf>
    <xf numFmtId="0" applyNumberFormat="1" fontId="15" applyFont="1" fillId="0" applyFill="1" borderId="0" applyBorder="1" xfId="685">
      <alignment vertical="top"/>
      <protection locked="0"/>
    </xf>
    <xf numFmtId="0" applyNumberFormat="1" fontId="16" applyFont="1" fillId="0" applyFill="1" borderId="0" applyBorder="1" xfId="686">
      <alignment vertical="top"/>
      <protection locked="0"/>
    </xf>
    <xf numFmtId="0" applyNumberFormat="1" fontId="17" applyFont="1" fillId="0" applyFill="1" borderId="0" applyBorder="1" xfId="687">
      <alignment vertical="top"/>
      <protection locked="0"/>
    </xf>
    <xf numFmtId="0" applyNumberFormat="1" fontId="17" applyFont="1" fillId="0" applyFill="1" borderId="0" applyBorder="1" xfId="688">
      <alignment vertical="top"/>
      <protection locked="0"/>
    </xf>
    <xf numFmtId="0" applyNumberFormat="1" fontId="16" applyFont="1" fillId="0" applyFill="1" borderId="0" applyBorder="1" xfId="689">
      <alignment vertical="top"/>
      <protection locked="0"/>
    </xf>
    <xf numFmtId="0" applyNumberFormat="1" fontId="18" applyFont="1" fillId="0" applyFill="1" borderId="0" applyBorder="1" xfId="690">
      <alignment vertical="top"/>
      <protection locked="0"/>
    </xf>
    <xf numFmtId="0" applyNumberFormat="1" fontId="19" applyFont="1" fillId="8" applyFill="1" borderId="3" applyBorder="1" xfId="691"/>
    <xf numFmtId="0" applyNumberFormat="1" fontId="19" applyFont="1" fillId="8" applyFill="1" borderId="3" applyBorder="1" xfId="692"/>
    <xf numFmtId="0" applyNumberFormat="1" fontId="19" applyFont="1" fillId="8" applyFill="1" borderId="3" applyBorder="1" xfId="693"/>
    <xf numFmtId="0" applyNumberFormat="1" fontId="19" applyFont="1" fillId="8" applyFill="1" borderId="3" applyBorder="1" xfId="694"/>
    <xf numFmtId="0" applyNumberFormat="1" fontId="19" applyFont="1" fillId="8" applyFill="1" borderId="3" applyBorder="1" xfId="695"/>
    <xf numFmtId="0" applyNumberFormat="1" fontId="19" applyFont="1" fillId="8" applyFill="1" borderId="3" applyBorder="1" xfId="696"/>
    <xf numFmtId="0" applyNumberFormat="1" fontId="19" applyFont="1" fillId="8" applyFill="1" borderId="3" applyBorder="1" xfId="697"/>
    <xf numFmtId="0" applyNumberFormat="1" fontId="19" applyFont="1" fillId="8" applyFill="1" borderId="3" applyBorder="1" xfId="698"/>
    <xf numFmtId="0" applyNumberFormat="1" fontId="19" applyFont="1" fillId="8" applyFill="1" borderId="3" applyBorder="1" xfId="699"/>
    <xf numFmtId="0" applyNumberFormat="1" fontId="20" applyFont="1" fillId="0" applyFill="1" borderId="8" applyBorder="1" xfId="700"/>
    <xf numFmtId="0" applyNumberFormat="1" fontId="20" applyFont="1" fillId="0" applyFill="1" borderId="8" applyBorder="1" xfId="701"/>
    <xf numFmtId="0" applyNumberFormat="1" fontId="20" applyFont="1" fillId="0" applyFill="1" borderId="8" applyBorder="1" xfId="702"/>
    <xf numFmtId="0" applyNumberFormat="1" fontId="20" applyFont="1" fillId="0" applyFill="1" borderId="8" applyBorder="1" xfId="703"/>
    <xf numFmtId="0" applyNumberFormat="1" fontId="20" applyFont="1" fillId="0" applyFill="1" borderId="8" applyBorder="1" xfId="704"/>
    <xf numFmtId="0" applyNumberFormat="1" fontId="20" applyFont="1" fillId="0" applyFill="1" borderId="8" applyBorder="1" xfId="705"/>
    <xf numFmtId="0" applyNumberFormat="1" fontId="20" applyFont="1" fillId="0" applyFill="1" borderId="8" applyBorder="1" xfId="706"/>
    <xf numFmtId="0" applyNumberFormat="1" fontId="20" applyFont="1" fillId="0" applyFill="1" borderId="8" applyBorder="1" xfId="707"/>
    <xf numFmtId="0" applyNumberFormat="1" fontId="20" applyFont="1" fillId="0" applyFill="1" borderId="8" applyBorder="1" xfId="708"/>
    <xf numFmtId="0" applyNumberFormat="1" fontId="21" applyFont="1" fillId="23" applyFill="1" borderId="0" applyBorder="1" xfId="709"/>
    <xf numFmtId="0" applyNumberFormat="1" fontId="21" applyFont="1" fillId="23" applyFill="1" borderId="0" applyBorder="1" xfId="710"/>
    <xf numFmtId="0" applyNumberFormat="1" fontId="21" applyFont="1" fillId="23" applyFill="1" borderId="0" applyBorder="1" xfId="711"/>
    <xf numFmtId="0" applyNumberFormat="1" fontId="21" applyFont="1" fillId="23" applyFill="1" borderId="0" applyBorder="1" xfId="712"/>
    <xf numFmtId="0" applyNumberFormat="1" fontId="21" applyFont="1" fillId="23" applyFill="1" borderId="0" applyBorder="1" xfId="713"/>
    <xf numFmtId="0" applyNumberFormat="1" fontId="21" applyFont="1" fillId="23" applyFill="1" borderId="0" applyBorder="1" xfId="714"/>
    <xf numFmtId="0" applyNumberFormat="1" fontId="21" applyFont="1" fillId="23" applyFill="1" borderId="0" applyBorder="1" xfId="715"/>
    <xf numFmtId="0" applyNumberFormat="1" fontId="21" applyFont="1" fillId="23" applyFill="1" borderId="0" applyBorder="1" xfId="716"/>
    <xf numFmtId="0" applyNumberFormat="1" fontId="21" applyFont="1" fillId="23" applyFill="1" borderId="0" applyBorder="1" xfId="717"/>
    <xf numFmtId="164" applyNumberFormat="1" fontId="2" applyFont="1" fillId="0" applyFill="1" borderId="0" applyBorder="1" xfId="718"/>
    <xf numFmtId="164" applyNumberFormat="1" fontId="2" applyFont="1" fillId="0" applyFill="1" borderId="0" applyBorder="1" xfId="719"/>
    <xf numFmtId="0" applyNumberFormat="1" fontId="1" applyFont="1" fillId="0" applyFill="1" borderId="0" applyBorder="1" xfId="720"/>
    <xf numFmtId="164" applyNumberFormat="1" fontId="2" applyFont="1" fillId="0" applyFill="1" borderId="0" applyBorder="1" xfId="721"/>
    <xf numFmtId="0" applyNumberFormat="1" fontId="2" applyFont="1" fillId="0" applyFill="1" borderId="0" applyBorder="1" xfId="722">
      <alignment vertical="top"/>
    </xf>
    <xf numFmtId="0" applyNumberFormat="1" fontId="2" applyFont="1" fillId="0" applyFill="1" borderId="0" applyBorder="1" xfId="723">
      <alignment vertical="top"/>
    </xf>
    <xf numFmtId="164" applyNumberFormat="1" fontId="2" applyFont="1" fillId="0" applyFill="1" borderId="0" applyBorder="1" xfId="724"/>
    <xf numFmtId="164" applyNumberFormat="1" fontId="2" applyFont="1" fillId="0" applyFill="1" borderId="0" applyBorder="1" xfId="725"/>
    <xf numFmtId="0" applyNumberFormat="1" fontId="2" applyFont="1" fillId="0" applyFill="1" borderId="0" applyBorder="1" xfId="726"/>
    <xf numFmtId="0" applyNumberFormat="1" fontId="2" applyFont="1" fillId="0" applyFill="1" borderId="0" applyBorder="1" xfId="727"/>
    <xf numFmtId="0" applyNumberFormat="1" fontId="2" applyFont="1" fillId="0" applyFill="1" borderId="0" applyBorder="1" xfId="728"/>
    <xf numFmtId="0" applyNumberFormat="1" fontId="2" applyFont="1" fillId="0" applyFill="1" borderId="0" applyBorder="1" xfId="729">
      <alignment vertical="top"/>
    </xf>
    <xf numFmtId="0" applyNumberFormat="1" fontId="2" applyFont="1" fillId="0" applyFill="1" borderId="0" applyBorder="1" xfId="730"/>
    <xf numFmtId="0" applyNumberFormat="1" fontId="1" applyFont="1" fillId="0" applyFill="1" borderId="0" applyBorder="1" xfId="731"/>
    <xf numFmtId="0" applyNumberFormat="1" fontId="2" applyFont="1" fillId="0" applyFill="1" borderId="0" applyBorder="1" xfId="732">
      <alignment vertical="top"/>
    </xf>
    <xf numFmtId="0" applyNumberFormat="1" fontId="1" applyFont="1" fillId="0" applyFill="1" borderId="0" applyBorder="1" xfId="733"/>
    <xf numFmtId="0" applyNumberFormat="1" fontId="2" applyFont="1" fillId="0" applyFill="1" borderId="0" applyBorder="1" xfId="734">
      <alignment vertical="top"/>
    </xf>
    <xf numFmtId="0" applyNumberFormat="1" fontId="1" applyFont="1" fillId="0" applyFill="1" borderId="0" applyBorder="1" xfId="735"/>
    <xf numFmtId="0" applyNumberFormat="1" fontId="1" applyFont="1" fillId="0" applyFill="1" borderId="0" applyBorder="1" xfId="736"/>
    <xf numFmtId="0" applyNumberFormat="1" fontId="2" applyFont="1" fillId="0" applyFill="1" borderId="0" applyBorder="1" xfId="737">
      <alignment vertical="top"/>
    </xf>
    <xf numFmtId="0" applyNumberFormat="1" fontId="1" applyFont="1" fillId="0" applyFill="1" borderId="0" applyBorder="1" xfId="738"/>
    <xf numFmtId="0" applyNumberFormat="1" fontId="22" applyFont="1" fillId="0" applyFill="1" borderId="0" applyBorder="1" xfId="739"/>
    <xf numFmtId="0" applyNumberFormat="1" fontId="2" applyFont="1" fillId="0" applyFill="1" borderId="0" applyBorder="1" xfId="740"/>
    <xf numFmtId="0" applyNumberFormat="1" fontId="2" applyFont="1" fillId="0" applyFill="1" borderId="0" applyBorder="1" xfId="741"/>
    <xf numFmtId="0" applyNumberFormat="1" fontId="2" applyFont="1" fillId="0" applyFill="1" borderId="0" applyBorder="1" xfId="742"/>
    <xf numFmtId="164" applyNumberFormat="1" fontId="2" applyFont="1" fillId="0" applyFill="1" borderId="0" applyBorder="1" xfId="743"/>
    <xf numFmtId="0" applyNumberFormat="1" fontId="2" applyFont="1" fillId="0" applyFill="1" borderId="0" applyBorder="1" xfId="744">
      <alignment vertical="top"/>
    </xf>
    <xf numFmtId="0" applyNumberFormat="1" fontId="23" applyFont="1" fillId="0" applyFill="1" borderId="0" applyBorder="1" xfId="745"/>
    <xf numFmtId="0" applyNumberFormat="1" fontId="2" applyFont="1" fillId="0" applyFill="1" borderId="0" applyBorder="1" xfId="746"/>
    <xf numFmtId="0" applyNumberFormat="1" fontId="2" applyFont="1" fillId="0" applyFill="1" borderId="0" applyBorder="1" xfId="747"/>
    <xf numFmtId="0" applyNumberFormat="1" fontId="2" applyFont="1" fillId="0" applyFill="1" borderId="0" applyBorder="1" xfId="748"/>
    <xf numFmtId="0" applyNumberFormat="1" fontId="2" applyFont="1" fillId="0" applyFill="1" borderId="0" applyBorder="1" xfId="749">
      <alignment vertical="top"/>
    </xf>
    <xf numFmtId="0" applyNumberFormat="1" fontId="2" applyFont="1" fillId="0" applyFill="1" borderId="0" applyBorder="1" xfId="750">
      <alignment vertical="top"/>
    </xf>
    <xf numFmtId="0" applyNumberFormat="1" fontId="2" applyFont="1" fillId="0" applyFill="1" borderId="0" applyBorder="1" xfId="751">
      <alignment vertical="top"/>
    </xf>
    <xf numFmtId="0" applyNumberFormat="1" fontId="2" applyFont="1" fillId="0" applyFill="1" borderId="0" applyBorder="1" xfId="752">
      <alignment vertical="top"/>
    </xf>
    <xf numFmtId="0" applyNumberFormat="1" fontId="2" applyFont="1" fillId="0" applyFill="1" borderId="0" applyBorder="1" xfId="753">
      <alignment vertical="top"/>
    </xf>
    <xf numFmtId="0" applyNumberFormat="1" fontId="2" applyFont="1" fillId="0" applyFill="1" borderId="0" applyBorder="1" xfId="754">
      <alignment vertical="top"/>
    </xf>
    <xf numFmtId="0" applyNumberFormat="1" fontId="2" applyFont="1" fillId="0" applyFill="1" borderId="0" applyBorder="1" xfId="755">
      <alignment vertical="top"/>
    </xf>
    <xf numFmtId="0" applyNumberFormat="1" fontId="2" applyFont="1" fillId="0" applyFill="1" borderId="0" applyBorder="1" xfId="756"/>
    <xf numFmtId="164" applyNumberFormat="1" fontId="2" applyFont="1" fillId="0" applyFill="1" borderId="0" applyBorder="1" xfId="757"/>
    <xf numFmtId="164" applyNumberFormat="1" fontId="2" applyFont="1" fillId="0" applyFill="1" borderId="0" applyBorder="1" xfId="758"/>
    <xf numFmtId="0" applyNumberFormat="1" fontId="2" applyFont="1" fillId="0" applyFill="1" borderId="0" applyBorder="1" xfId="759">
      <alignment vertical="top"/>
    </xf>
    <xf numFmtId="0" applyNumberFormat="1" fontId="2" applyFont="1" fillId="0" applyFill="1" borderId="0" applyBorder="1" xfId="760"/>
    <xf numFmtId="0" applyNumberFormat="1" fontId="2" applyFont="1" fillId="0" applyFill="1" borderId="0" applyBorder="1" xfId="761"/>
    <xf numFmtId="0" applyNumberFormat="1" fontId="2" applyFont="1" fillId="0" applyFill="1" borderId="0" applyBorder="1" xfId="762"/>
    <xf numFmtId="0" applyNumberFormat="1" fontId="2" applyFont="1" fillId="0" applyFill="1" borderId="0" applyBorder="1" xfId="763"/>
    <xf numFmtId="0" applyNumberFormat="1" fontId="2" applyFont="1" fillId="0" applyFill="1" borderId="0" applyBorder="1" xfId="764"/>
    <xf numFmtId="0" applyNumberFormat="1" fontId="1" applyFont="1" fillId="0" applyFill="1" borderId="0" applyBorder="1" xfId="765"/>
    <xf numFmtId="0" applyNumberFormat="1" fontId="2" applyFont="1" fillId="0" applyFill="1" borderId="0" applyBorder="1" xfId="766">
      <alignment vertical="top"/>
    </xf>
    <xf numFmtId="0" applyNumberFormat="1" fontId="2" applyFont="1" fillId="0" applyFill="1" borderId="0" applyBorder="1" xfId="767">
      <alignment vertical="top"/>
    </xf>
    <xf numFmtId="0" applyNumberFormat="1" fontId="2" applyFont="1" fillId="0" applyFill="1" borderId="0" applyBorder="1" xfId="768"/>
    <xf numFmtId="0" applyNumberFormat="1" fontId="2" applyFont="1" fillId="0" applyFill="1" borderId="0" applyBorder="1" xfId="769"/>
    <xf numFmtId="0" applyNumberFormat="1" fontId="2" applyFont="1" fillId="0" applyFill="1" borderId="0" applyBorder="1" xfId="770"/>
    <xf numFmtId="0" applyNumberFormat="1" fontId="2" applyFont="1" fillId="0" applyFill="1" borderId="0" applyBorder="1" xfId="771"/>
    <xf numFmtId="0" applyNumberFormat="1" fontId="2" applyFont="1" fillId="0" applyFill="1" borderId="0" applyBorder="1" xfId="772"/>
    <xf numFmtId="0" applyNumberFormat="1" fontId="2" applyFont="1" fillId="0" applyFill="1" borderId="0" applyBorder="1" xfId="773"/>
    <xf numFmtId="164" applyNumberFormat="1" fontId="2" applyFont="1" fillId="0" applyFill="1" borderId="0" applyBorder="1" xfId="774"/>
    <xf numFmtId="0" applyNumberFormat="1" fontId="1" applyFont="1" fillId="0" applyFill="1" borderId="0" applyBorder="1" xfId="775"/>
    <xf numFmtId="0" applyNumberFormat="1" fontId="2" applyFont="1" fillId="0" applyFill="1" borderId="0" applyBorder="1" xfId="776"/>
    <xf numFmtId="0" applyNumberFormat="1" fontId="2" applyFont="1" fillId="0" applyFill="1" borderId="0" applyBorder="1" xfId="777">
      <alignment vertical="top"/>
    </xf>
    <xf numFmtId="164" applyNumberFormat="1" fontId="2" applyFont="1" fillId="0" applyFill="1" borderId="0" applyBorder="1" xfId="778"/>
    <xf numFmtId="0" applyNumberFormat="1" fontId="2" applyFont="1" fillId="0" applyFill="1" borderId="0" applyBorder="1" xfId="779"/>
    <xf numFmtId="0" applyNumberFormat="1" fontId="2" applyFont="1" fillId="0" applyFill="1" borderId="0" applyBorder="1" xfId="780"/>
    <xf numFmtId="0" applyNumberFormat="1" fontId="2" applyFont="1" fillId="0" applyFill="1" borderId="0" applyBorder="1" xfId="781"/>
    <xf numFmtId="0" applyNumberFormat="1" fontId="2" applyFont="1" fillId="0" applyFill="1" borderId="0" applyBorder="1" xfId="782"/>
    <xf numFmtId="0" applyNumberFormat="1" fontId="2" applyFont="1" fillId="0" applyFill="1" borderId="0" applyBorder="1" xfId="783"/>
    <xf numFmtId="0" applyNumberFormat="1" fontId="2" applyFont="1" fillId="0" applyFill="1" borderId="0" applyBorder="1" xfId="784"/>
    <xf numFmtId="0" applyNumberFormat="1" fontId="2" applyFont="1" fillId="0" applyFill="1" borderId="0" applyBorder="1" xfId="785"/>
    <xf numFmtId="0" applyNumberFormat="1" fontId="2" applyFont="1" fillId="0" applyFill="1" borderId="0" applyBorder="1" xfId="786"/>
    <xf numFmtId="0" applyNumberFormat="1" fontId="2" applyFont="1" fillId="0" applyFill="1" borderId="0" applyBorder="1" xfId="787">
      <alignment vertical="top"/>
    </xf>
    <xf numFmtId="0" applyNumberFormat="1" fontId="2" applyFont="1" fillId="0" applyFill="1" borderId="0" applyBorder="1" xfId="788">
      <alignment vertical="top"/>
    </xf>
    <xf numFmtId="0" applyNumberFormat="1" fontId="2" applyFont="1" fillId="0" applyFill="1" borderId="0" applyBorder="1" xfId="789">
      <alignment vertical="top"/>
    </xf>
    <xf numFmtId="0" applyNumberFormat="1" fontId="2" applyFont="1" fillId="0" applyFill="1" borderId="0" applyBorder="1" xfId="790">
      <alignment vertical="top"/>
    </xf>
    <xf numFmtId="0" applyNumberFormat="1" fontId="2" applyFont="1" fillId="0" applyFill="1" borderId="0" applyBorder="1" xfId="791">
      <alignment vertical="top"/>
    </xf>
    <xf numFmtId="0" applyNumberFormat="1" fontId="2" applyFont="1" fillId="0" applyFill="1" borderId="0" applyBorder="1" xfId="792">
      <alignment vertical="top"/>
    </xf>
    <xf numFmtId="0" applyNumberFormat="1" fontId="2" applyFont="1" fillId="0" applyFill="1" borderId="0" applyBorder="1" xfId="793">
      <alignment vertical="top"/>
    </xf>
    <xf numFmtId="0" applyNumberFormat="1" fontId="22" applyFont="1" fillId="0" applyFill="1" borderId="0" applyBorder="1" xfId="794"/>
    <xf numFmtId="0" applyNumberFormat="1" fontId="2" applyFont="1" fillId="0" applyFill="1" borderId="0" applyBorder="1" xfId="795"/>
    <xf numFmtId="0" applyNumberFormat="1" fontId="2" applyFont="1" fillId="0" applyFill="1" borderId="0" applyBorder="1" xfId="796">
      <alignment vertical="top"/>
    </xf>
    <xf numFmtId="0" applyNumberFormat="1" fontId="2" applyFont="1" fillId="0" applyFill="1" borderId="0" applyBorder="1" xfId="797"/>
    <xf numFmtId="0" applyNumberFormat="1" fontId="2" applyFont="1" fillId="0" applyFill="1" borderId="0" applyBorder="1" xfId="798"/>
    <xf numFmtId="0" applyNumberFormat="1" fontId="2" applyFont="1" fillId="0" applyFill="1" borderId="0" applyBorder="1" xfId="799"/>
    <xf numFmtId="0" applyNumberFormat="1" fontId="2" applyFont="1" fillId="0" applyFill="1" borderId="0" applyBorder="1" xfId="800"/>
    <xf numFmtId="0" applyNumberFormat="1" fontId="2" applyFont="1" fillId="0" applyFill="1" borderId="0" applyBorder="1" xfId="801"/>
    <xf numFmtId="0" applyNumberFormat="1" fontId="2" applyFont="1" fillId="0" applyFill="1" borderId="0" applyBorder="1" xfId="802"/>
    <xf numFmtId="0" applyNumberFormat="1" fontId="1" applyFont="1" fillId="0" applyFill="1" borderId="0" applyBorder="1" xfId="803"/>
    <xf numFmtId="0" applyNumberFormat="1" fontId="1" applyFont="1" fillId="0" applyFill="1" borderId="0" applyBorder="1" xfId="804"/>
    <xf numFmtId="0" applyNumberFormat="1" fontId="1" applyFont="1" fillId="0" applyFill="1" borderId="0" applyBorder="1" xfId="805"/>
    <xf numFmtId="0" applyNumberFormat="1" fontId="1" applyFont="1" fillId="0" applyFill="1" borderId="0" applyBorder="1" xfId="806"/>
    <xf numFmtId="0" applyNumberFormat="1" fontId="2" applyFont="1" fillId="0" applyFill="1" borderId="0" applyBorder="1" xfId="807"/>
    <xf numFmtId="0" applyNumberFormat="1" fontId="2" applyFont="1" fillId="0" applyFill="1" borderId="0" applyBorder="1" xfId="808"/>
    <xf numFmtId="164" applyNumberFormat="1" fontId="2" applyFont="1" fillId="0" applyFill="1" borderId="0" applyBorder="1" xfId="809"/>
    <xf numFmtId="0" applyNumberFormat="1" fontId="24" applyFont="1" fillId="0" applyFill="1" borderId="0" applyBorder="1" xfId="810"/>
    <xf numFmtId="164" applyNumberFormat="1" fontId="2" applyFont="1" fillId="0" applyFill="1" borderId="0" applyBorder="1" xfId="811"/>
    <xf numFmtId="164" applyNumberFormat="1" fontId="2" applyFont="1" fillId="0" applyFill="1" borderId="0" applyBorder="1" xfId="812"/>
    <xf numFmtId="164" applyNumberFormat="1" fontId="2" applyFont="1" fillId="0" applyFill="1" borderId="0" applyBorder="1" xfId="813"/>
    <xf numFmtId="0" applyNumberFormat="1" fontId="2" applyFont="1" fillId="0" applyFill="1" borderId="0" applyBorder="1" xfId="814">
      <alignment vertical="top"/>
    </xf>
    <xf numFmtId="0" applyNumberFormat="1" fontId="2" applyFont="1" fillId="0" applyFill="1" borderId="0" applyBorder="1" xfId="815">
      <alignment vertical="top"/>
    </xf>
    <xf numFmtId="0" applyNumberFormat="1" fontId="2" applyFont="1" fillId="0" applyFill="1" borderId="0" applyBorder="1" xfId="816">
      <alignment vertical="top"/>
    </xf>
    <xf numFmtId="0" applyNumberFormat="1" fontId="2" applyFont="1" fillId="0" applyFill="1" borderId="0" applyBorder="1" xfId="817">
      <alignment vertical="top"/>
    </xf>
    <xf numFmtId="0" applyNumberFormat="1" fontId="2" applyFont="1" fillId="0" applyFill="1" borderId="0" applyBorder="1" xfId="818"/>
    <xf numFmtId="164" applyNumberFormat="1" fontId="2" applyFont="1" fillId="0" applyFill="1" borderId="0" applyBorder="1" xfId="819"/>
    <xf numFmtId="0" applyNumberFormat="1" fontId="2" applyFont="1" fillId="0" applyFill="1" borderId="0" applyBorder="1" xfId="820"/>
    <xf numFmtId="164" applyNumberFormat="1" fontId="2" applyFont="1" fillId="0" applyFill="1" borderId="0" applyBorder="1" xfId="821"/>
    <xf numFmtId="164" applyNumberFormat="1" fontId="2" applyFont="1" fillId="0" applyFill="1" borderId="0" applyBorder="1" xfId="822"/>
    <xf numFmtId="164" applyNumberFormat="1" fontId="2" applyFont="1" fillId="0" applyFill="1" borderId="0" applyBorder="1" xfId="823"/>
    <xf numFmtId="0" applyNumberFormat="1" fontId="2" applyFont="1" fillId="0" applyFill="1" borderId="0" applyBorder="1" xfId="824">
      <alignment vertical="top"/>
    </xf>
    <xf numFmtId="0" applyNumberFormat="1" fontId="2" applyFont="1" fillId="0" applyFill="1" borderId="0" applyBorder="1" xfId="825">
      <alignment vertical="top"/>
    </xf>
    <xf numFmtId="0" applyNumberFormat="1" fontId="2" applyFont="1" fillId="0" applyFill="1" borderId="0" applyBorder="1" xfId="826">
      <alignment vertical="top"/>
    </xf>
    <xf numFmtId="0" applyNumberFormat="1" fontId="2" applyFont="1" fillId="0" applyFill="1" borderId="0" applyBorder="1" xfId="827">
      <alignment vertical="top"/>
    </xf>
    <xf numFmtId="164" applyNumberFormat="1" fontId="2" applyFont="1" fillId="0" applyFill="1" borderId="0" applyBorder="1" xfId="828"/>
    <xf numFmtId="0" applyNumberFormat="1" fontId="1" applyFont="1" fillId="0" applyFill="1" borderId="0" applyBorder="1" xfId="829"/>
    <xf numFmtId="0" applyNumberFormat="1" fontId="1" applyFont="1" fillId="0" applyFill="1" borderId="0" applyBorder="1" xfId="830"/>
    <xf numFmtId="0" applyNumberFormat="1" fontId="1" applyFont="1" fillId="0" applyFill="1" borderId="0" applyBorder="1" xfId="831"/>
    <xf numFmtId="0" applyNumberFormat="1" fontId="1" applyFont="1" fillId="0" applyFill="1" borderId="0" applyBorder="1" xfId="832"/>
    <xf numFmtId="0" applyNumberFormat="1" fontId="1" applyFont="1" fillId="0" applyFill="1" borderId="0" applyBorder="1" xfId="833"/>
    <xf numFmtId="0" applyNumberFormat="1" fontId="1" applyFont="1" fillId="0" applyFill="1" borderId="0" applyBorder="1" xfId="834"/>
    <xf numFmtId="0" applyNumberFormat="1" fontId="2" applyFont="1" fillId="0" applyFill="1" borderId="0" applyBorder="1" xfId="835">
      <alignment vertical="top"/>
    </xf>
    <xf numFmtId="0" applyNumberFormat="1" fontId="2" applyFont="1" fillId="0" applyFill="1" borderId="0" applyBorder="1" xfId="836">
      <alignment vertical="top"/>
    </xf>
    <xf numFmtId="0" applyNumberFormat="1" fontId="2" applyFont="1" fillId="0" applyFill="1" borderId="0" applyBorder="1" xfId="837">
      <alignment vertical="top"/>
    </xf>
    <xf numFmtId="0" applyNumberFormat="1" fontId="2" applyFont="1" fillId="0" applyFill="1" borderId="0" applyBorder="1" xfId="838">
      <alignment vertical="top"/>
    </xf>
    <xf numFmtId="0" applyNumberFormat="1" fontId="3" applyFont="1" fillId="0" applyFill="1" borderId="0" applyBorder="1" xfId="839"/>
    <xf numFmtId="164" applyNumberFormat="1" fontId="2" applyFont="1" fillId="0" applyFill="1" borderId="0" applyBorder="1" xfId="840"/>
    <xf numFmtId="164" applyNumberFormat="1" fontId="2" applyFont="1" fillId="0" applyFill="1" borderId="0" applyBorder="1" xfId="841"/>
    <xf numFmtId="164" applyNumberFormat="1" fontId="2" applyFont="1" fillId="0" applyFill="1" borderId="0" applyBorder="1" xfId="842"/>
    <xf numFmtId="164" applyNumberFormat="1" fontId="2" applyFont="1" fillId="0" applyFill="1" borderId="0" applyBorder="1" xfId="843"/>
    <xf numFmtId="0" applyNumberFormat="1" fontId="2" applyFont="1" fillId="0" applyFill="1" borderId="0" applyBorder="1" xfId="844">
      <alignment vertical="top"/>
    </xf>
    <xf numFmtId="0" applyNumberFormat="1" fontId="2" applyFont="1" fillId="0" applyFill="1" borderId="0" applyBorder="1" xfId="845">
      <alignment vertical="top"/>
    </xf>
    <xf numFmtId="0" applyNumberFormat="1" fontId="2" applyFont="1" fillId="0" applyFill="1" borderId="0" applyBorder="1" xfId="846">
      <alignment vertical="top"/>
    </xf>
    <xf numFmtId="0" applyNumberFormat="1" fontId="2" applyFont="1" fillId="0" applyFill="1" borderId="0" applyBorder="1" xfId="847">
      <alignment vertical="top"/>
    </xf>
    <xf numFmtId="0" applyNumberFormat="1" fontId="1" applyFont="1" fillId="0" applyFill="1" borderId="0" applyBorder="1" xfId="848"/>
    <xf numFmtId="0" applyNumberFormat="1" fontId="1" applyFont="1" fillId="0" applyFill="1" borderId="0" applyBorder="1" xfId="849"/>
    <xf numFmtId="0" applyNumberFormat="1" fontId="1" applyFont="1" fillId="2" applyFill="1" borderId="1" applyBorder="1" xfId="850"/>
    <xf numFmtId="0" applyNumberFormat="1" fontId="2" applyFont="1" fillId="24" applyFill="1" borderId="9" applyBorder="1" xfId="851"/>
    <xf numFmtId="0" applyNumberFormat="1" fontId="3" applyFont="1" fillId="2" applyFill="1" borderId="1" applyBorder="1" xfId="852"/>
    <xf numFmtId="0" applyNumberFormat="1" fontId="3" applyFont="1" fillId="2" applyFill="1" borderId="1" applyBorder="1" xfId="853"/>
    <xf numFmtId="0" applyNumberFormat="1" fontId="3" applyFont="1" fillId="2" applyFill="1" borderId="1" applyBorder="1" xfId="854"/>
    <xf numFmtId="0" applyNumberFormat="1" fontId="3" applyFont="1" fillId="2" applyFill="1" borderId="1" applyBorder="1" xfId="855"/>
    <xf numFmtId="0" applyNumberFormat="1" fontId="3" applyFont="1" fillId="2" applyFill="1" borderId="1" applyBorder="1" xfId="856"/>
    <xf numFmtId="0" applyNumberFormat="1" fontId="3" applyFont="1" fillId="2" applyFill="1" borderId="1" applyBorder="1" xfId="857"/>
    <xf numFmtId="0" applyNumberFormat="1" fontId="3" applyFont="1" fillId="2" applyFill="1" borderId="1" applyBorder="1" xfId="858"/>
    <xf numFmtId="0" applyNumberFormat="1" fontId="3" applyFont="1" fillId="2" applyFill="1" borderId="1" applyBorder="1" xfId="859"/>
    <xf numFmtId="0" applyNumberFormat="1" fontId="2" applyFont="1" fillId="24" applyFill="1" borderId="9" applyBorder="1" xfId="860"/>
    <xf numFmtId="0" applyNumberFormat="1" fontId="3" applyFont="1" fillId="2" applyFill="1" borderId="1" applyBorder="1" xfId="861"/>
    <xf numFmtId="0" applyNumberFormat="1" fontId="2" applyFont="1" fillId="24" applyFill="1" borderId="9" applyBorder="1" xfId="862"/>
    <xf numFmtId="0" applyNumberFormat="1" fontId="2" applyFont="1" fillId="24" applyFill="1" borderId="9" applyBorder="1" xfId="863"/>
    <xf numFmtId="0" applyNumberFormat="1" fontId="2" applyFont="1" fillId="24" applyFill="1" borderId="9" applyBorder="1" xfId="864"/>
    <xf numFmtId="0" applyNumberFormat="1" fontId="2" applyFont="1" fillId="24" applyFill="1" borderId="9" applyBorder="1" xfId="865"/>
    <xf numFmtId="0" applyNumberFormat="1" fontId="2" applyFont="1" fillId="24" applyFill="1" borderId="9" applyBorder="1" xfId="866"/>
    <xf numFmtId="0" applyNumberFormat="1" fontId="2" applyFont="1" fillId="24" applyFill="1" borderId="9" applyBorder="1" xfId="867"/>
    <xf numFmtId="0" applyNumberFormat="1" fontId="2" applyFont="1" fillId="24" applyFill="1" borderId="9" applyBorder="1" xfId="868"/>
    <xf numFmtId="0" applyNumberFormat="1" fontId="25" applyFont="1" fillId="21" applyFill="1" borderId="10" applyBorder="1" xfId="869"/>
    <xf numFmtId="0" applyNumberFormat="1" fontId="25" applyFont="1" fillId="21" applyFill="1" borderId="10" applyBorder="1" xfId="870"/>
    <xf numFmtId="0" applyNumberFormat="1" fontId="25" applyFont="1" fillId="21" applyFill="1" borderId="10" applyBorder="1" xfId="871"/>
    <xf numFmtId="0" applyNumberFormat="1" fontId="25" applyFont="1" fillId="21" applyFill="1" borderId="10" applyBorder="1" xfId="872"/>
    <xf numFmtId="0" applyNumberFormat="1" fontId="25" applyFont="1" fillId="21" applyFill="1" borderId="10" applyBorder="1" xfId="873"/>
    <xf numFmtId="0" applyNumberFormat="1" fontId="25" applyFont="1" fillId="21" applyFill="1" borderId="10" applyBorder="1" xfId="874"/>
    <xf numFmtId="0" applyNumberFormat="1" fontId="25" applyFont="1" fillId="21" applyFill="1" borderId="10" applyBorder="1" xfId="875"/>
    <xf numFmtId="0" applyNumberFormat="1" fontId="25" applyFont="1" fillId="21" applyFill="1" borderId="10" applyBorder="1" xfId="876"/>
    <xf numFmtId="0" applyNumberFormat="1" fontId="25" applyFont="1" fillId="21" applyFill="1" borderId="10" applyBorder="1" xfId="877"/>
    <xf numFmtId="9" applyNumberFormat="1" fontId="3" applyFont="1" fillId="0" applyFill="1" borderId="0" applyBorder="1" xfId="878"/>
    <xf numFmtId="9" applyNumberFormat="1" fontId="3" applyFont="1" fillId="0" applyFill="1" borderId="0" applyBorder="1" xfId="879"/>
    <xf numFmtId="9" applyNumberFormat="1" fontId="2" applyFont="1" fillId="0" applyFill="1" borderId="0" applyBorder="1" xfId="880"/>
    <xf numFmtId="9" applyNumberFormat="1" fontId="2" applyFont="1" fillId="0" applyFill="1" borderId="0" applyBorder="1" xfId="881"/>
    <xf numFmtId="9" applyNumberFormat="1" fontId="2" applyFont="1" fillId="0" applyFill="1" borderId="0" applyBorder="1" xfId="882"/>
    <xf numFmtId="9" applyNumberFormat="1" fontId="2" applyFont="1" fillId="0" applyFill="1" borderId="0" applyBorder="1" xfId="883"/>
    <xf numFmtId="9" applyNumberFormat="1" fontId="3" applyFont="1" fillId="0" applyFill="1" borderId="0" applyBorder="1" xfId="884"/>
    <xf numFmtId="9" applyNumberFormat="1" fontId="1" applyFont="1" fillId="0" applyFill="1" borderId="0" applyBorder="1" xfId="885"/>
    <xf numFmtId="9" applyNumberFormat="1" fontId="3" applyFont="1" fillId="0" applyFill="1" borderId="0" applyBorder="1" xfId="886"/>
    <xf numFmtId="9" applyNumberFormat="1" fontId="3" applyFont="1" fillId="0" applyFill="1" borderId="0" applyBorder="1" xfId="887"/>
    <xf numFmtId="9" applyNumberFormat="1" fontId="1" applyFont="1" fillId="0" applyFill="1" borderId="0" applyBorder="1" xfId="888"/>
    <xf numFmtId="9" applyNumberFormat="1" fontId="1" applyFont="1" fillId="0" applyFill="1" borderId="0" applyBorder="1" xfId="889"/>
    <xf numFmtId="9" applyNumberFormat="1" fontId="3" applyFont="1" fillId="0" applyFill="1" borderId="0" applyBorder="1" xfId="890"/>
    <xf numFmtId="9" applyNumberFormat="1" fontId="1" applyFont="1" fillId="0" applyFill="1" borderId="0" applyBorder="1" xfId="891"/>
    <xf numFmtId="9" applyNumberFormat="1" fontId="3" applyFont="1" fillId="0" applyFill="1" borderId="0" applyBorder="1" xfId="892"/>
    <xf numFmtId="9" applyNumberFormat="1" fontId="2" applyFont="1" fillId="0" applyFill="1" borderId="0" applyBorder="1" xfId="893"/>
    <xf numFmtId="0" applyNumberFormat="1" fontId="2" applyFont="1" fillId="25" applyFill="1" borderId="11" applyBorder="1" xfId="894"/>
    <xf numFmtId="0" applyNumberFormat="1" fontId="2" applyFont="1" fillId="25" applyFill="1" borderId="11" applyBorder="1" xfId="895"/>
    <xf numFmtId="0" applyNumberFormat="1" fontId="2" applyFont="1" fillId="25" applyFill="1" borderId="11" applyBorder="1" xfId="896"/>
    <xf numFmtId="0" applyNumberFormat="1" fontId="2" applyFont="1" fillId="25" applyFill="1" borderId="11" applyBorder="1" xfId="897"/>
    <xf numFmtId="0" applyNumberFormat="1" fontId="2" applyFont="1" fillId="25" applyFill="1" borderId="11" applyBorder="1" xfId="898"/>
    <xf numFmtId="0" applyNumberFormat="1" fontId="26" applyFont="1" fillId="0" applyFill="1" borderId="0" applyBorder="1" xfId="899"/>
    <xf numFmtId="0" applyNumberFormat="1" fontId="26" applyFont="1" fillId="0" applyFill="1" borderId="0" applyBorder="1" xfId="900"/>
    <xf numFmtId="0" applyNumberFormat="1" fontId="26" applyFont="1" fillId="0" applyFill="1" borderId="0" applyBorder="1" xfId="901"/>
    <xf numFmtId="0" applyNumberFormat="1" fontId="26" applyFont="1" fillId="0" applyFill="1" borderId="0" applyBorder="1" xfId="902"/>
    <xf numFmtId="0" applyNumberFormat="1" fontId="26" applyFont="1" fillId="0" applyFill="1" borderId="0" applyBorder="1" xfId="903"/>
    <xf numFmtId="0" applyNumberFormat="1" fontId="26" applyFont="1" fillId="0" applyFill="1" borderId="0" applyBorder="1" xfId="904"/>
    <xf numFmtId="0" applyNumberFormat="1" fontId="26" applyFont="1" fillId="0" applyFill="1" borderId="0" applyBorder="1" xfId="905"/>
    <xf numFmtId="0" applyNumberFormat="1" fontId="26" applyFont="1" fillId="0" applyFill="1" borderId="0" applyBorder="1" xfId="906"/>
    <xf numFmtId="0" applyNumberFormat="1" fontId="26" applyFont="1" fillId="0" applyFill="1" borderId="0" applyBorder="1" xfId="907"/>
    <xf numFmtId="0" applyNumberFormat="1" fontId="27" applyFont="1" fillId="0" applyFill="1" borderId="12" applyBorder="1" xfId="908"/>
    <xf numFmtId="0" applyNumberFormat="1" fontId="27" applyFont="1" fillId="0" applyFill="1" borderId="12" applyBorder="1" xfId="909"/>
    <xf numFmtId="0" applyNumberFormat="1" fontId="27" applyFont="1" fillId="0" applyFill="1" borderId="12" applyBorder="1" xfId="910"/>
    <xf numFmtId="0" applyNumberFormat="1" fontId="27" applyFont="1" fillId="0" applyFill="1" borderId="12" applyBorder="1" xfId="911"/>
    <xf numFmtId="0" applyNumberFormat="1" fontId="27" applyFont="1" fillId="0" applyFill="1" borderId="12" applyBorder="1" xfId="912"/>
    <xf numFmtId="0" applyNumberFormat="1" fontId="27" applyFont="1" fillId="0" applyFill="1" borderId="12" applyBorder="1" xfId="913"/>
    <xf numFmtId="0" applyNumberFormat="1" fontId="27" applyFont="1" fillId="0" applyFill="1" borderId="12" applyBorder="1" xfId="914"/>
    <xf numFmtId="0" applyNumberFormat="1" fontId="27" applyFont="1" fillId="0" applyFill="1" borderId="12" applyBorder="1" xfId="915"/>
    <xf numFmtId="0" applyNumberFormat="1" fontId="27" applyFont="1" fillId="0" applyFill="1" borderId="12" applyBorder="1" xfId="916"/>
    <xf numFmtId="0" applyNumberFormat="1" fontId="28" applyFont="1" fillId="0" applyFill="1" borderId="0" applyBorder="1" xfId="917"/>
    <xf numFmtId="0" applyNumberFormat="1" fontId="28" applyFont="1" fillId="0" applyFill="1" borderId="0" applyBorder="1" xfId="918"/>
    <xf numFmtId="0" applyNumberFormat="1" fontId="28" applyFont="1" fillId="0" applyFill="1" borderId="0" applyBorder="1" xfId="919"/>
    <xf numFmtId="0" applyNumberFormat="1" fontId="28" applyFont="1" fillId="0" applyFill="1" borderId="0" applyBorder="1" xfId="920"/>
    <xf numFmtId="0" applyNumberFormat="1" fontId="28" applyFont="1" fillId="0" applyFill="1" borderId="0" applyBorder="1" xfId="921"/>
    <xf numFmtId="0" applyNumberFormat="1" fontId="28" applyFont="1" fillId="0" applyFill="1" borderId="0" applyBorder="1" xfId="922"/>
    <xf numFmtId="0" applyNumberFormat="1" fontId="28" applyFont="1" fillId="0" applyFill="1" borderId="0" applyBorder="1" xfId="923"/>
    <xf numFmtId="0" applyNumberFormat="1" fontId="28" applyFont="1" fillId="0" applyFill="1" borderId="0" applyBorder="1" xfId="924"/>
    <xf numFmtId="0" applyNumberFormat="1" fontId="28" applyFont="1" fillId="0" applyFill="1" borderId="0" applyBorder="1" xfId="925"/>
    <xf numFmtId="0" applyNumberFormat="1" fontId="30" applyFont="1" fillId="0" applyFill="1" borderId="0" applyBorder="1" xfId="0"/>
    <xf numFmtId="0" applyNumberFormat="1" fontId="30" applyFont="1" fillId="0" applyFill="1" borderId="0" applyBorder="1" xfId="0"/>
    <xf numFmtId="0" applyNumberFormat="1" fontId="32" applyFont="1" fillId="0" applyFill="1" borderId="0" applyBorder="1" xfId="0"/>
    <xf numFmtId="0" applyNumberFormat="1" fontId="32" applyFont="1" fillId="0" applyFill="1" borderId="0" applyBorder="1" xfId="677"/>
    <xf numFmtId="165" applyNumberFormat="1" fontId="0" applyFont="1" fillId="0" applyFill="1" borderId="0" applyBorder="1" xfId="0">
      <alignment vertical="center" wrapText="1"/>
    </xf>
    <xf numFmtId="0" applyNumberFormat="1" fontId="30" applyFont="1" fillId="0" applyFill="1" borderId="0" applyBorder="1" xfId="0"/>
    <xf numFmtId="0" applyNumberFormat="1" fontId="30" applyFont="1" fillId="0" applyFill="1" borderId="22" applyBorder="1" xfId="0"/>
    <xf numFmtId="0" applyNumberFormat="1" fontId="30" applyFont="1" fillId="0" applyFill="1" borderId="27" applyBorder="1" xfId="0"/>
    <xf numFmtId="0" applyNumberFormat="1" fontId="30" applyFont="1" fillId="0" applyFill="1" borderId="28" applyBorder="1" xfId="0"/>
    <xf numFmtId="0" applyNumberFormat="1" fontId="30" applyFont="1" fillId="0" applyFill="1" borderId="23" applyBorder="1" xfId="0"/>
    <xf numFmtId="0" applyNumberFormat="1" fontId="30" applyFont="1" fillId="0" applyFill="1" borderId="31" applyBorder="1" xfId="0"/>
    <xf numFmtId="0" applyNumberFormat="1" fontId="30" applyFont="1" fillId="0" applyFill="1" borderId="24" applyBorder="1" xfId="0"/>
    <xf numFmtId="0" applyNumberFormat="1" fontId="30" applyFont="1" fillId="0" applyFill="1" borderId="29" applyBorder="1" xfId="0"/>
    <xf numFmtId="0" applyNumberFormat="1" fontId="30" applyFont="1" fillId="0" applyFill="1" borderId="30" applyBorder="1" xfId="0"/>
    <xf numFmtId="0" applyNumberFormat="1" fontId="31" applyFont="1" fillId="27" applyFill="1" borderId="2" applyBorder="1" xfId="0">
      <alignment horizontal="center" vertical="center"/>
    </xf>
    <xf numFmtId="0" applyNumberFormat="1" fontId="34" applyFont="1" fillId="0" applyFill="1" borderId="0" applyBorder="1" xfId="0"/>
    <xf numFmtId="0" applyNumberFormat="1" fontId="36" applyFont="1" fillId="0" applyFill="1" borderId="0" applyBorder="1" xfId="677"/>
    <xf numFmtId="0" applyNumberFormat="1" fontId="37" applyFont="1" fillId="0" applyFill="1" borderId="0" applyBorder="1" xfId="677"/>
    <xf numFmtId="0" applyNumberFormat="1" fontId="37" applyFont="1" fillId="0" applyFill="1" borderId="0" applyBorder="1" xfId="0"/>
    <xf numFmtId="0" applyNumberFormat="1" fontId="36" applyFont="1" fillId="0" applyFill="1" borderId="0" applyBorder="1" xfId="677"/>
    <xf numFmtId="14" applyNumberFormat="1" fontId="30" applyFont="1" fillId="0" applyFill="1" borderId="0" applyBorder="1" xfId="0"/>
    <xf numFmtId="14" applyNumberFormat="1" fontId="31" applyFont="1" fillId="27" applyFill="1" borderId="2" applyBorder="1" xfId="0">
      <alignment horizontal="center" vertical="center"/>
    </xf>
    <xf numFmtId="0" applyNumberFormat="1" fontId="35" applyFont="1" fillId="0" applyFill="1" borderId="0" applyBorder="1" xfId="0">
      <alignment horizontal="left"/>
    </xf>
    <xf numFmtId="0" applyNumberFormat="1" fontId="32" applyFont="1" fillId="0" applyFill="1" borderId="29" applyBorder="1" xfId="0"/>
    <xf numFmtId="0" applyNumberFormat="1" fontId="39" applyFont="1" fillId="0" applyFill="1" borderId="0" applyBorder="1" xfId="0"/>
    <xf numFmtId="43" applyNumberFormat="1" fontId="41" applyFont="1" fillId="0" applyFill="1" borderId="0" applyBorder="1" xfId="0">
      <alignment horizontal="center"/>
    </xf>
    <xf numFmtId="43" applyNumberFormat="1" fontId="39" applyFont="1" fillId="0" applyFill="1" borderId="0" applyBorder="1" xfId="0">
      <alignment horizontal="center"/>
    </xf>
    <xf numFmtId="43" applyNumberFormat="1" fontId="40" applyFont="1" fillId="0" applyFill="1" borderId="37" applyBorder="1" xfId="546"/>
    <xf numFmtId="43" applyNumberFormat="1" fontId="40" applyFont="1" fillId="0" applyFill="1" borderId="0" applyBorder="1" xfId="546"/>
    <xf numFmtId="43" applyNumberFormat="1" fontId="42" applyFont="1" fillId="0" applyFill="1" borderId="0" applyBorder="1" xfId="546"/>
    <xf numFmtId="0" applyNumberFormat="1" fontId="39" applyFont="1" fillId="0" applyFill="1" borderId="0" applyBorder="1" xfId="0"/>
    <xf numFmtId="43" applyNumberFormat="1" fontId="41" applyFont="1" fillId="0" applyFill="1" borderId="0" applyBorder="1" xfId="0"/>
    <xf numFmtId="0" applyNumberFormat="1" fontId="31" applyFont="1" fillId="27" applyFill="1" borderId="26" applyBorder="1" xfId="0">
      <alignment horizontal="right" vertical="center"/>
    </xf>
    <xf numFmtId="165" applyNumberFormat="1" fontId="29" applyFont="1" fillId="26" applyFill="1" borderId="24" applyBorder="1" xfId="0">
      <alignment horizontal="right" vertical="center" wrapText="1"/>
    </xf>
    <xf numFmtId="43" applyNumberFormat="1" fontId="43" applyFont="1" fillId="0" applyFill="1" borderId="36" applyBorder="1" xfId="0">
      <alignment horizontal="center"/>
    </xf>
    <xf numFmtId="43" applyNumberFormat="1" fontId="45" applyFont="1" fillId="0" applyFill="1" borderId="36" applyBorder="1" xfId="0">
      <alignment horizontal="center"/>
    </xf>
    <xf numFmtId="0" applyNumberFormat="1" fontId="31" applyFont="1" fillId="27" applyFill="1" borderId="34" applyBorder="1" xfId="0">
      <alignment horizontal="right" vertical="center"/>
    </xf>
    <xf numFmtId="43" applyNumberFormat="1" fontId="42" applyFont="1" fillId="0" applyFill="1" borderId="25" applyBorder="1" xfId="546"/>
    <xf numFmtId="0" applyNumberFormat="1" fontId="39" applyFont="1" fillId="0" applyFill="1" borderId="2" applyBorder="1" xfId="0">
      <alignment horizontal="center"/>
    </xf>
    <xf numFmtId="43" applyNumberFormat="1" fontId="42" applyFont="1" fillId="0" applyFill="1" borderId="15" applyBorder="1" xfId="546"/>
    <xf numFmtId="43" applyNumberFormat="1" fontId="42" applyFont="1" fillId="0" applyFill="1" borderId="14" applyBorder="1" xfId="546"/>
    <xf numFmtId="43" applyNumberFormat="1" fontId="42" applyFont="1" fillId="0" applyFill="1" borderId="26" applyBorder="1" xfId="546"/>
    <xf numFmtId="0" applyNumberFormat="1" fontId="39" applyFont="1" fillId="0" applyFill="1" borderId="2" applyBorder="1" xfId="0">
      <alignment horizontal="center" vertical="center"/>
    </xf>
    <xf numFmtId="43" applyNumberFormat="1" fontId="42" applyFont="1" fillId="0" applyFill="1" borderId="13" applyBorder="1" xfId="546"/>
    <xf numFmtId="43" applyNumberFormat="1" fontId="39" applyFont="1" fillId="0" applyFill="1" borderId="26" applyBorder="1" xfId="546"/>
    <xf numFmtId="0" applyNumberFormat="1" fontId="0" applyFont="1" fillId="0" applyFill="1" borderId="2" applyBorder="1" xfId="0">
      <alignment horizontal="center" vertical="center"/>
    </xf>
    <xf numFmtId="0" applyNumberFormat="1" fontId="38" applyFont="1" fillId="27" applyFill="1" borderId="25" applyBorder="1" xfId="0">
      <alignment horizontal="left" vertical="center"/>
    </xf>
    <xf numFmtId="0" applyNumberFormat="1" fontId="35" applyFont="1" fillId="0" applyFill="1" borderId="0" applyBorder="1" xfId="0">
      <alignment horizontal="left"/>
    </xf>
    <xf numFmtId="0" applyNumberFormat="1" fontId="33" applyFont="1" fillId="27" applyFill="1" borderId="0" applyBorder="1" xfId="0">
      <alignment horizontal="center" vertical="center" wrapText="1"/>
    </xf>
    <xf numFmtId="165" applyNumberFormat="1" fontId="0" applyFont="1" fillId="26" applyFill="1" borderId="16" applyBorder="1" xfId="0">
      <alignment horizontal="center" vertical="center" wrapText="1"/>
    </xf>
    <xf numFmtId="165" applyNumberFormat="1" fontId="0" applyFont="1" fillId="26" applyFill="1" borderId="17" applyBorder="1" xfId="0">
      <alignment horizontal="center" vertical="center" wrapText="1"/>
    </xf>
    <xf numFmtId="165" applyNumberFormat="1" fontId="0" applyFont="1" fillId="26" applyFill="1" borderId="18" applyBorder="1" xfId="0">
      <alignment horizontal="center" vertical="center" wrapText="1"/>
    </xf>
    <xf numFmtId="165" applyNumberFormat="1" fontId="0" applyFont="1" fillId="26" applyFill="1" borderId="19" applyBorder="1" xfId="0">
      <alignment horizontal="center" vertical="center" wrapText="1"/>
    </xf>
    <xf numFmtId="165" applyNumberFormat="1" fontId="0" applyFont="1" fillId="26" applyFill="1" borderId="20" applyBorder="1" xfId="0">
      <alignment horizontal="center" vertical="center" wrapText="1"/>
    </xf>
    <xf numFmtId="165" applyNumberFormat="1" fontId="0" applyFont="1" fillId="26" applyFill="1" borderId="21" applyBorder="1" xfId="0">
      <alignment horizontal="center" vertical="center" wrapText="1"/>
    </xf>
    <xf numFmtId="0" applyNumberFormat="1" fontId="38" applyFont="1" fillId="27" applyFill="1" borderId="40" applyBorder="1" xfId="0">
      <alignment horizontal="center" vertical="center" shrinkToFit="1" textRotation="45"/>
    </xf>
    <xf numFmtId="0" applyNumberFormat="1" fontId="38" applyFont="1" fillId="27" applyFill="1" borderId="38" applyBorder="1" xfId="0">
      <alignment horizontal="center" vertical="center" shrinkToFit="1" textRotation="45"/>
    </xf>
    <xf numFmtId="0" applyNumberFormat="1" fontId="38" applyFont="1" fillId="27" applyFill="1" borderId="39" applyBorder="1" xfId="0">
      <alignment horizontal="center" vertical="center" shrinkToFit="1" textRotation="45"/>
    </xf>
    <xf numFmtId="165" applyNumberFormat="1" fontId="0" applyFont="1" fillId="0" applyFill="1" borderId="0" applyBorder="1" xfId="0">
      <alignment horizontal="center" vertical="center" wrapText="1"/>
    </xf>
    <xf numFmtId="165" applyNumberFormat="1" fontId="0" applyFont="1" fillId="26" applyFill="1" borderId="0" applyBorder="1" xfId="0">
      <alignment horizontal="center" vertical="center" wrapText="1"/>
    </xf>
    <xf numFmtId="165" applyNumberFormat="1" fontId="44" applyFont="1" fillId="26" applyFill="1" borderId="32" applyBorder="1" xfId="0">
      <alignment horizontal="center" vertical="center" wrapText="1"/>
    </xf>
    <xf numFmtId="165" applyNumberFormat="1" fontId="44" applyFont="1" fillId="26" applyFill="1" borderId="33" applyBorder="1" xfId="0">
      <alignment horizontal="center" vertical="center" wrapText="1"/>
    </xf>
    <xf numFmtId="0" applyNumberFormat="1" fontId="38" applyFont="1" fillId="27" applyFill="1" borderId="44" applyBorder="1" xfId="0">
      <alignment horizontal="left" vertical="center"/>
    </xf>
    <xf numFmtId="0" applyNumberFormat="1" fontId="38" applyFont="1" fillId="27" applyFill="1" borderId="45" applyBorder="1" xfId="0">
      <alignment horizontal="left" vertical="center"/>
    </xf>
    <xf numFmtId="0" applyNumberFormat="1" fontId="38" applyFont="1" fillId="27" applyFill="1" borderId="46" applyBorder="1" xfId="0">
      <alignment horizontal="left" vertical="center"/>
    </xf>
    <xf numFmtId="0" applyNumberFormat="1" fontId="46" applyFont="1" fillId="0" applyFill="1" borderId="47" applyBorder="1" xfId="0"/>
    <xf numFmtId="14" applyNumberFormat="1" fontId="47" applyFont="1" fillId="0" applyFill="1" borderId="47" applyBorder="1" xfId="0"/>
    <xf numFmtId="0" applyNumberFormat="1" fontId="47" applyFont="1" fillId="0" applyFill="1" borderId="47" applyBorder="1" xfId="0"/>
    <xf numFmtId="166" applyNumberFormat="1" fontId="46" applyFont="1" fillId="0" applyFill="1" borderId="47" applyBorder="1" xfId="0"/>
    <xf numFmtId="166" applyNumberFormat="1" fontId="47" applyFont="1" fillId="0" applyFill="1" borderId="47" applyBorder="1" xfId="0"/>
    <xf numFmtId="166" applyNumberFormat="1" fontId="41" applyFont="1" fillId="0" applyFill="1" borderId="35" applyBorder="1" xfId="0">
      <alignment horizontal="center"/>
    </xf>
    <xf numFmtId="166" applyNumberFormat="1" fontId="41" applyFont="1" fillId="0" applyFill="1" borderId="13" applyBorder="1" xfId="0">
      <alignment horizontal="center"/>
    </xf>
    <xf numFmtId="166" applyNumberFormat="1" fontId="29" applyFont="1" fillId="0" applyFill="1" borderId="41" applyBorder="1" xfId="0">
      <alignment horizontal="right"/>
    </xf>
    <xf numFmtId="166" applyNumberFormat="1" fontId="0" applyFont="1" fillId="0" applyFill="1" borderId="42" applyBorder="1" xfId="0"/>
    <xf numFmtId="166" applyNumberFormat="1" fontId="29" applyFont="1" fillId="0" applyFill="1" borderId="42" applyBorder="1" xfId="0"/>
    <xf numFmtId="166" applyNumberFormat="1" fontId="30" applyFont="1" fillId="0" applyFill="1" borderId="42" applyBorder="1" xfId="0"/>
    <xf numFmtId="166" applyNumberFormat="1" fontId="30" applyFont="1" fillId="0" applyFill="1" borderId="43" applyBorder="1" xfId="0"/>
    <xf numFmtId="49" applyNumberFormat="1" fontId="48" applyFont="1" fillId="0" applyFill="1" borderId="2" applyBorder="1" xfId="546"/>
    <xf numFmtId="166" applyNumberFormat="1" fontId="48" applyFont="1" fillId="0" applyFill="1" borderId="2" applyBorder="1" xfId="546"/>
  </cellXfs>
  <cellStyles count="926">
    <cellStyle name="=C:\WINNT\SYSTEM32\COMMAND.COM" xfId="1"/>
    <cellStyle name="=C:\WINNT\SYSTEM32\COMMAND.COM 2" xfId="2"/>
    <cellStyle name="20% - Accent1 2" xfId="3"/>
    <cellStyle name="20% - Accent1 2 10" xfId="4"/>
    <cellStyle name="20% - Accent1 2 2" xfId="5"/>
    <cellStyle name="20% - Accent1 2 2 2" xfId="6"/>
    <cellStyle name="20% - Accent1 2 2 2 2" xfId="7"/>
    <cellStyle name="20% - Accent1 2 2 3" xfId="8"/>
    <cellStyle name="20% - Accent1 2 3" xfId="9"/>
    <cellStyle name="20% - Accent1 2 3 2" xfId="10"/>
    <cellStyle name="20% - Accent1 2 3 2 2" xfId="11"/>
    <cellStyle name="20% - Accent1 2 3 3" xfId="12"/>
    <cellStyle name="20% - Accent1 2 4" xfId="13"/>
    <cellStyle name="20% - Accent1 2 4 2" xfId="14"/>
    <cellStyle name="20% - Accent1 2 4 2 2" xfId="15"/>
    <cellStyle name="20% - Accent1 2 4 3" xfId="16"/>
    <cellStyle name="20% - Accent1 2 5" xfId="17"/>
    <cellStyle name="20% - Accent1 2 5 2" xfId="18"/>
    <cellStyle name="20% - Accent1 2 5 2 2" xfId="19"/>
    <cellStyle name="20% - Accent1 2 5 3" xfId="20"/>
    <cellStyle name="20% - Accent1 2 6" xfId="21"/>
    <cellStyle name="20% - Accent1 2 6 2" xfId="22"/>
    <cellStyle name="20% - Accent1 2 6 2 2" xfId="23"/>
    <cellStyle name="20% - Accent1 2 6 3" xfId="24"/>
    <cellStyle name="20% - Accent1 2 7" xfId="25"/>
    <cellStyle name="20% - Accent1 2 7 2" xfId="26"/>
    <cellStyle name="20% - Accent1 2 7 2 2" xfId="27"/>
    <cellStyle name="20% - Accent1 2 7 3" xfId="28"/>
    <cellStyle name="20% - Accent1 2 8" xfId="29"/>
    <cellStyle name="20% - Accent1 2 8 2" xfId="30"/>
    <cellStyle name="20% - Accent1 2 8 2 2" xfId="31"/>
    <cellStyle name="20% - Accent1 2 8 3" xfId="32"/>
    <cellStyle name="20% - Accent1 2 9" xfId="33"/>
    <cellStyle name="20% - Accent1 2 9 2" xfId="34"/>
    <cellStyle name="20% - Accent1 2 9 2 2" xfId="35"/>
    <cellStyle name="20% - Accent1 2 9 3" xfId="36"/>
    <cellStyle name="20% - Accent2 2" xfId="37"/>
    <cellStyle name="20% - Accent2 2 10" xfId="38"/>
    <cellStyle name="20% - Accent2 2 2" xfId="39"/>
    <cellStyle name="20% - Accent2 2 2 2" xfId="40"/>
    <cellStyle name="20% - Accent2 2 2 2 2" xfId="41"/>
    <cellStyle name="20% - Accent2 2 2 3" xfId="42"/>
    <cellStyle name="20% - Accent2 2 3" xfId="43"/>
    <cellStyle name="20% - Accent2 2 3 2" xfId="44"/>
    <cellStyle name="20% - Accent2 2 3 2 2" xfId="45"/>
    <cellStyle name="20% - Accent2 2 3 3" xfId="46"/>
    <cellStyle name="20% - Accent2 2 4" xfId="47"/>
    <cellStyle name="20% - Accent2 2 4 2" xfId="48"/>
    <cellStyle name="20% - Accent2 2 4 2 2" xfId="49"/>
    <cellStyle name="20% - Accent2 2 4 3" xfId="50"/>
    <cellStyle name="20% - Accent2 2 5" xfId="51"/>
    <cellStyle name="20% - Accent2 2 5 2" xfId="52"/>
    <cellStyle name="20% - Accent2 2 5 2 2" xfId="53"/>
    <cellStyle name="20% - Accent2 2 5 3" xfId="54"/>
    <cellStyle name="20% - Accent2 2 6" xfId="55"/>
    <cellStyle name="20% - Accent2 2 6 2" xfId="56"/>
    <cellStyle name="20% - Accent2 2 6 2 2" xfId="57"/>
    <cellStyle name="20% - Accent2 2 6 3" xfId="58"/>
    <cellStyle name="20% - Accent2 2 7" xfId="59"/>
    <cellStyle name="20% - Accent2 2 7 2" xfId="60"/>
    <cellStyle name="20% - Accent2 2 7 2 2" xfId="61"/>
    <cellStyle name="20% - Accent2 2 7 3" xfId="62"/>
    <cellStyle name="20% - Accent2 2 8" xfId="63"/>
    <cellStyle name="20% - Accent2 2 8 2" xfId="64"/>
    <cellStyle name="20% - Accent2 2 8 2 2" xfId="65"/>
    <cellStyle name="20% - Accent2 2 8 3" xfId="66"/>
    <cellStyle name="20% - Accent2 2 9" xfId="67"/>
    <cellStyle name="20% - Accent2 2 9 2" xfId="68"/>
    <cellStyle name="20% - Accent2 2 9 2 2" xfId="69"/>
    <cellStyle name="20% - Accent2 2 9 3" xfId="70"/>
    <cellStyle name="20% - Accent3 2" xfId="71"/>
    <cellStyle name="20% - Accent3 2 10" xfId="72"/>
    <cellStyle name="20% - Accent3 2 2" xfId="73"/>
    <cellStyle name="20% - Accent3 2 2 2" xfId="74"/>
    <cellStyle name="20% - Accent3 2 2 2 2" xfId="75"/>
    <cellStyle name="20% - Accent3 2 2 3" xfId="76"/>
    <cellStyle name="20% - Accent3 2 3" xfId="77"/>
    <cellStyle name="20% - Accent3 2 3 2" xfId="78"/>
    <cellStyle name="20% - Accent3 2 3 2 2" xfId="79"/>
    <cellStyle name="20% - Accent3 2 3 3" xfId="80"/>
    <cellStyle name="20% - Accent3 2 4" xfId="81"/>
    <cellStyle name="20% - Accent3 2 4 2" xfId="82"/>
    <cellStyle name="20% - Accent3 2 4 2 2" xfId="83"/>
    <cellStyle name="20% - Accent3 2 4 3" xfId="84"/>
    <cellStyle name="20% - Accent3 2 5" xfId="85"/>
    <cellStyle name="20% - Accent3 2 5 2" xfId="86"/>
    <cellStyle name="20% - Accent3 2 5 2 2" xfId="87"/>
    <cellStyle name="20% - Accent3 2 5 3" xfId="88"/>
    <cellStyle name="20% - Accent3 2 6" xfId="89"/>
    <cellStyle name="20% - Accent3 2 6 2" xfId="90"/>
    <cellStyle name="20% - Accent3 2 6 2 2" xfId="91"/>
    <cellStyle name="20% - Accent3 2 6 3" xfId="92"/>
    <cellStyle name="20% - Accent3 2 7" xfId="93"/>
    <cellStyle name="20% - Accent3 2 7 2" xfId="94"/>
    <cellStyle name="20% - Accent3 2 7 2 2" xfId="95"/>
    <cellStyle name="20% - Accent3 2 7 3" xfId="96"/>
    <cellStyle name="20% - Accent3 2 8" xfId="97"/>
    <cellStyle name="20% - Accent3 2 8 2" xfId="98"/>
    <cellStyle name="20% - Accent3 2 8 2 2" xfId="99"/>
    <cellStyle name="20% - Accent3 2 8 3" xfId="100"/>
    <cellStyle name="20% - Accent3 2 9" xfId="101"/>
    <cellStyle name="20% - Accent3 2 9 2" xfId="102"/>
    <cellStyle name="20% - Accent3 2 9 2 2" xfId="103"/>
    <cellStyle name="20% - Accent3 2 9 3" xfId="104"/>
    <cellStyle name="20% - Accent4 2" xfId="105"/>
    <cellStyle name="20% - Accent4 2 10" xfId="106"/>
    <cellStyle name="20% - Accent4 2 2" xfId="107"/>
    <cellStyle name="20% - Accent4 2 2 2" xfId="108"/>
    <cellStyle name="20% - Accent4 2 2 2 2" xfId="109"/>
    <cellStyle name="20% - Accent4 2 2 3" xfId="110"/>
    <cellStyle name="20% - Accent4 2 3" xfId="111"/>
    <cellStyle name="20% - Accent4 2 3 2" xfId="112"/>
    <cellStyle name="20% - Accent4 2 3 2 2" xfId="113"/>
    <cellStyle name="20% - Accent4 2 3 3" xfId="114"/>
    <cellStyle name="20% - Accent4 2 4" xfId="115"/>
    <cellStyle name="20% - Accent4 2 4 2" xfId="116"/>
    <cellStyle name="20% - Accent4 2 4 2 2" xfId="117"/>
    <cellStyle name="20% - Accent4 2 4 3" xfId="118"/>
    <cellStyle name="20% - Accent4 2 5" xfId="119"/>
    <cellStyle name="20% - Accent4 2 5 2" xfId="120"/>
    <cellStyle name="20% - Accent4 2 5 2 2" xfId="121"/>
    <cellStyle name="20% - Accent4 2 5 3" xfId="122"/>
    <cellStyle name="20% - Accent4 2 6" xfId="123"/>
    <cellStyle name="20% - Accent4 2 6 2" xfId="124"/>
    <cellStyle name="20% - Accent4 2 6 2 2" xfId="125"/>
    <cellStyle name="20% - Accent4 2 6 3" xfId="126"/>
    <cellStyle name="20% - Accent4 2 7" xfId="127"/>
    <cellStyle name="20% - Accent4 2 7 2" xfId="128"/>
    <cellStyle name="20% - Accent4 2 7 2 2" xfId="129"/>
    <cellStyle name="20% - Accent4 2 7 3" xfId="130"/>
    <cellStyle name="20% - Accent4 2 8" xfId="131"/>
    <cellStyle name="20% - Accent4 2 8 2" xfId="132"/>
    <cellStyle name="20% - Accent4 2 8 2 2" xfId="133"/>
    <cellStyle name="20% - Accent4 2 8 3" xfId="134"/>
    <cellStyle name="20% - Accent4 2 9" xfId="135"/>
    <cellStyle name="20% - Accent4 2 9 2" xfId="136"/>
    <cellStyle name="20% - Accent4 2 9 2 2" xfId="137"/>
    <cellStyle name="20% - Accent4 2 9 3" xfId="138"/>
    <cellStyle name="20% - Accent5 2" xfId="139"/>
    <cellStyle name="20% - Accent5 2 10" xfId="140"/>
    <cellStyle name="20% - Accent5 2 2" xfId="141"/>
    <cellStyle name="20% - Accent5 2 2 2" xfId="142"/>
    <cellStyle name="20% - Accent5 2 2 2 2" xfId="143"/>
    <cellStyle name="20% - Accent5 2 2 3" xfId="144"/>
    <cellStyle name="20% - Accent5 2 3" xfId="145"/>
    <cellStyle name="20% - Accent5 2 3 2" xfId="146"/>
    <cellStyle name="20% - Accent5 2 3 2 2" xfId="147"/>
    <cellStyle name="20% - Accent5 2 3 3" xfId="148"/>
    <cellStyle name="20% - Accent5 2 4" xfId="149"/>
    <cellStyle name="20% - Accent5 2 4 2" xfId="150"/>
    <cellStyle name="20% - Accent5 2 4 2 2" xfId="151"/>
    <cellStyle name="20% - Accent5 2 4 3" xfId="152"/>
    <cellStyle name="20% - Accent5 2 5" xfId="153"/>
    <cellStyle name="20% - Accent5 2 5 2" xfId="154"/>
    <cellStyle name="20% - Accent5 2 5 2 2" xfId="155"/>
    <cellStyle name="20% - Accent5 2 5 3" xfId="156"/>
    <cellStyle name="20% - Accent5 2 6" xfId="157"/>
    <cellStyle name="20% - Accent5 2 6 2" xfId="158"/>
    <cellStyle name="20% - Accent5 2 6 2 2" xfId="159"/>
    <cellStyle name="20% - Accent5 2 6 3" xfId="160"/>
    <cellStyle name="20% - Accent5 2 7" xfId="161"/>
    <cellStyle name="20% - Accent5 2 7 2" xfId="162"/>
    <cellStyle name="20% - Accent5 2 7 2 2" xfId="163"/>
    <cellStyle name="20% - Accent5 2 7 3" xfId="164"/>
    <cellStyle name="20% - Accent5 2 8" xfId="165"/>
    <cellStyle name="20% - Accent5 2 8 2" xfId="166"/>
    <cellStyle name="20% - Accent5 2 8 2 2" xfId="167"/>
    <cellStyle name="20% - Accent5 2 8 3" xfId="168"/>
    <cellStyle name="20% - Accent5 2 9" xfId="169"/>
    <cellStyle name="20% - Accent5 2 9 2" xfId="170"/>
    <cellStyle name="20% - Accent5 2 9 2 2" xfId="171"/>
    <cellStyle name="20% - Accent5 2 9 3" xfId="172"/>
    <cellStyle name="20% - Accent6 2" xfId="173"/>
    <cellStyle name="20% - Accent6 2 10" xfId="174"/>
    <cellStyle name="20% - Accent6 2 2" xfId="175"/>
    <cellStyle name="20% - Accent6 2 2 2" xfId="176"/>
    <cellStyle name="20% - Accent6 2 2 2 2" xfId="177"/>
    <cellStyle name="20% - Accent6 2 2 3" xfId="178"/>
    <cellStyle name="20% - Accent6 2 3" xfId="179"/>
    <cellStyle name="20% - Accent6 2 3 2" xfId="180"/>
    <cellStyle name="20% - Accent6 2 3 2 2" xfId="181"/>
    <cellStyle name="20% - Accent6 2 3 3" xfId="182"/>
    <cellStyle name="20% - Accent6 2 4" xfId="183"/>
    <cellStyle name="20% - Accent6 2 4 2" xfId="184"/>
    <cellStyle name="20% - Accent6 2 4 2 2" xfId="185"/>
    <cellStyle name="20% - Accent6 2 4 3" xfId="186"/>
    <cellStyle name="20% - Accent6 2 5" xfId="187"/>
    <cellStyle name="20% - Accent6 2 5 2" xfId="188"/>
    <cellStyle name="20% - Accent6 2 5 2 2" xfId="189"/>
    <cellStyle name="20% - Accent6 2 5 3" xfId="190"/>
    <cellStyle name="20% - Accent6 2 6" xfId="191"/>
    <cellStyle name="20% - Accent6 2 6 2" xfId="192"/>
    <cellStyle name="20% - Accent6 2 6 2 2" xfId="193"/>
    <cellStyle name="20% - Accent6 2 6 3" xfId="194"/>
    <cellStyle name="20% - Accent6 2 7" xfId="195"/>
    <cellStyle name="20% - Accent6 2 7 2" xfId="196"/>
    <cellStyle name="20% - Accent6 2 7 2 2" xfId="197"/>
    <cellStyle name="20% - Accent6 2 7 3" xfId="198"/>
    <cellStyle name="20% - Accent6 2 8" xfId="199"/>
    <cellStyle name="20% - Accent6 2 8 2" xfId="200"/>
    <cellStyle name="20% - Accent6 2 8 2 2" xfId="201"/>
    <cellStyle name="20% - Accent6 2 8 3" xfId="202"/>
    <cellStyle name="20% - Accent6 2 9" xfId="203"/>
    <cellStyle name="20% - Accent6 2 9 2" xfId="204"/>
    <cellStyle name="20% - Accent6 2 9 2 2" xfId="205"/>
    <cellStyle name="20% - Accent6 2 9 3" xfId="206"/>
    <cellStyle name="40% - Accent1 2" xfId="207"/>
    <cellStyle name="40% - Accent1 2 10" xfId="208"/>
    <cellStyle name="40% - Accent1 2 2" xfId="209"/>
    <cellStyle name="40% - Accent1 2 2 2" xfId="210"/>
    <cellStyle name="40% - Accent1 2 2 2 2" xfId="211"/>
    <cellStyle name="40% - Accent1 2 2 3" xfId="212"/>
    <cellStyle name="40% - Accent1 2 3" xfId="213"/>
    <cellStyle name="40% - Accent1 2 3 2" xfId="214"/>
    <cellStyle name="40% - Accent1 2 3 2 2" xfId="215"/>
    <cellStyle name="40% - Accent1 2 3 3" xfId="216"/>
    <cellStyle name="40% - Accent1 2 4" xfId="217"/>
    <cellStyle name="40% - Accent1 2 4 2" xfId="218"/>
    <cellStyle name="40% - Accent1 2 4 2 2" xfId="219"/>
    <cellStyle name="40% - Accent1 2 4 3" xfId="220"/>
    <cellStyle name="40% - Accent1 2 5" xfId="221"/>
    <cellStyle name="40% - Accent1 2 5 2" xfId="222"/>
    <cellStyle name="40% - Accent1 2 5 2 2" xfId="223"/>
    <cellStyle name="40% - Accent1 2 5 3" xfId="224"/>
    <cellStyle name="40% - Accent1 2 6" xfId="225"/>
    <cellStyle name="40% - Accent1 2 6 2" xfId="226"/>
    <cellStyle name="40% - Accent1 2 6 2 2" xfId="227"/>
    <cellStyle name="40% - Accent1 2 6 3" xfId="228"/>
    <cellStyle name="40% - Accent1 2 7" xfId="229"/>
    <cellStyle name="40% - Accent1 2 7 2" xfId="230"/>
    <cellStyle name="40% - Accent1 2 7 2 2" xfId="231"/>
    <cellStyle name="40% - Accent1 2 7 3" xfId="232"/>
    <cellStyle name="40% - Accent1 2 8" xfId="233"/>
    <cellStyle name="40% - Accent1 2 8 2" xfId="234"/>
    <cellStyle name="40% - Accent1 2 8 2 2" xfId="235"/>
    <cellStyle name="40% - Accent1 2 8 3" xfId="236"/>
    <cellStyle name="40% - Accent1 2 9" xfId="237"/>
    <cellStyle name="40% - Accent1 2 9 2" xfId="238"/>
    <cellStyle name="40% - Accent1 2 9 2 2" xfId="239"/>
    <cellStyle name="40% - Accent1 2 9 3" xfId="240"/>
    <cellStyle name="40% - Accent2 2" xfId="241"/>
    <cellStyle name="40% - Accent2 2 10" xfId="242"/>
    <cellStyle name="40% - Accent2 2 2" xfId="243"/>
    <cellStyle name="40% - Accent2 2 2 2" xfId="244"/>
    <cellStyle name="40% - Accent2 2 2 2 2" xfId="245"/>
    <cellStyle name="40% - Accent2 2 2 3" xfId="246"/>
    <cellStyle name="40% - Accent2 2 3" xfId="247"/>
    <cellStyle name="40% - Accent2 2 3 2" xfId="248"/>
    <cellStyle name="40% - Accent2 2 3 2 2" xfId="249"/>
    <cellStyle name="40% - Accent2 2 3 3" xfId="250"/>
    <cellStyle name="40% - Accent2 2 4" xfId="251"/>
    <cellStyle name="40% - Accent2 2 4 2" xfId="252"/>
    <cellStyle name="40% - Accent2 2 4 2 2" xfId="253"/>
    <cellStyle name="40% - Accent2 2 4 3" xfId="254"/>
    <cellStyle name="40% - Accent2 2 5" xfId="255"/>
    <cellStyle name="40% - Accent2 2 5 2" xfId="256"/>
    <cellStyle name="40% - Accent2 2 5 2 2" xfId="257"/>
    <cellStyle name="40% - Accent2 2 5 3" xfId="258"/>
    <cellStyle name="40% - Accent2 2 6" xfId="259"/>
    <cellStyle name="40% - Accent2 2 6 2" xfId="260"/>
    <cellStyle name="40% - Accent2 2 6 2 2" xfId="261"/>
    <cellStyle name="40% - Accent2 2 6 3" xfId="262"/>
    <cellStyle name="40% - Accent2 2 7" xfId="263"/>
    <cellStyle name="40% - Accent2 2 7 2" xfId="264"/>
    <cellStyle name="40% - Accent2 2 7 2 2" xfId="265"/>
    <cellStyle name="40% - Accent2 2 7 3" xfId="266"/>
    <cellStyle name="40% - Accent2 2 8" xfId="267"/>
    <cellStyle name="40% - Accent2 2 8 2" xfId="268"/>
    <cellStyle name="40% - Accent2 2 8 2 2" xfId="269"/>
    <cellStyle name="40% - Accent2 2 8 3" xfId="270"/>
    <cellStyle name="40% - Accent2 2 9" xfId="271"/>
    <cellStyle name="40% - Accent2 2 9 2" xfId="272"/>
    <cellStyle name="40% - Accent2 2 9 2 2" xfId="273"/>
    <cellStyle name="40% - Accent2 2 9 3" xfId="274"/>
    <cellStyle name="40% - Accent3 2" xfId="275"/>
    <cellStyle name="40% - Accent3 2 10" xfId="276"/>
    <cellStyle name="40% - Accent3 2 2" xfId="277"/>
    <cellStyle name="40% - Accent3 2 2 2" xfId="278"/>
    <cellStyle name="40% - Accent3 2 2 2 2" xfId="279"/>
    <cellStyle name="40% - Accent3 2 2 3" xfId="280"/>
    <cellStyle name="40% - Accent3 2 3" xfId="281"/>
    <cellStyle name="40% - Accent3 2 3 2" xfId="282"/>
    <cellStyle name="40% - Accent3 2 3 2 2" xfId="283"/>
    <cellStyle name="40% - Accent3 2 3 3" xfId="284"/>
    <cellStyle name="40% - Accent3 2 4" xfId="285"/>
    <cellStyle name="40% - Accent3 2 4 2" xfId="286"/>
    <cellStyle name="40% - Accent3 2 4 2 2" xfId="287"/>
    <cellStyle name="40% - Accent3 2 4 3" xfId="288"/>
    <cellStyle name="40% - Accent3 2 5" xfId="289"/>
    <cellStyle name="40% - Accent3 2 5 2" xfId="290"/>
    <cellStyle name="40% - Accent3 2 5 2 2" xfId="291"/>
    <cellStyle name="40% - Accent3 2 5 3" xfId="292"/>
    <cellStyle name="40% - Accent3 2 6" xfId="293"/>
    <cellStyle name="40% - Accent3 2 6 2" xfId="294"/>
    <cellStyle name="40% - Accent3 2 6 2 2" xfId="295"/>
    <cellStyle name="40% - Accent3 2 6 3" xfId="296"/>
    <cellStyle name="40% - Accent3 2 7" xfId="297"/>
    <cellStyle name="40% - Accent3 2 7 2" xfId="298"/>
    <cellStyle name="40% - Accent3 2 7 2 2" xfId="299"/>
    <cellStyle name="40% - Accent3 2 7 3" xfId="300"/>
    <cellStyle name="40% - Accent3 2 8" xfId="301"/>
    <cellStyle name="40% - Accent3 2 8 2" xfId="302"/>
    <cellStyle name="40% - Accent3 2 8 2 2" xfId="303"/>
    <cellStyle name="40% - Accent3 2 8 3" xfId="304"/>
    <cellStyle name="40% - Accent3 2 9" xfId="305"/>
    <cellStyle name="40% - Accent3 2 9 2" xfId="306"/>
    <cellStyle name="40% - Accent3 2 9 2 2" xfId="307"/>
    <cellStyle name="40% - Accent3 2 9 3" xfId="308"/>
    <cellStyle name="40% - Accent4 2" xfId="309"/>
    <cellStyle name="40% - Accent4 2 10" xfId="310"/>
    <cellStyle name="40% - Accent4 2 2" xfId="311"/>
    <cellStyle name="40% - Accent4 2 2 2" xfId="312"/>
    <cellStyle name="40% - Accent4 2 2 2 2" xfId="313"/>
    <cellStyle name="40% - Accent4 2 2 3" xfId="314"/>
    <cellStyle name="40% - Accent4 2 3" xfId="315"/>
    <cellStyle name="40% - Accent4 2 3 2" xfId="316"/>
    <cellStyle name="40% - Accent4 2 3 2 2" xfId="317"/>
    <cellStyle name="40% - Accent4 2 3 3" xfId="318"/>
    <cellStyle name="40% - Accent4 2 4" xfId="319"/>
    <cellStyle name="40% - Accent4 2 4 2" xfId="320"/>
    <cellStyle name="40% - Accent4 2 4 2 2" xfId="321"/>
    <cellStyle name="40% - Accent4 2 4 3" xfId="322"/>
    <cellStyle name="40% - Accent4 2 5" xfId="323"/>
    <cellStyle name="40% - Accent4 2 5 2" xfId="324"/>
    <cellStyle name="40% - Accent4 2 5 2 2" xfId="325"/>
    <cellStyle name="40% - Accent4 2 5 3" xfId="326"/>
    <cellStyle name="40% - Accent4 2 6" xfId="327"/>
    <cellStyle name="40% - Accent4 2 6 2" xfId="328"/>
    <cellStyle name="40% - Accent4 2 6 2 2" xfId="329"/>
    <cellStyle name="40% - Accent4 2 6 3" xfId="330"/>
    <cellStyle name="40% - Accent4 2 7" xfId="331"/>
    <cellStyle name="40% - Accent4 2 7 2" xfId="332"/>
    <cellStyle name="40% - Accent4 2 7 2 2" xfId="333"/>
    <cellStyle name="40% - Accent4 2 7 3" xfId="334"/>
    <cellStyle name="40% - Accent4 2 8" xfId="335"/>
    <cellStyle name="40% - Accent4 2 8 2" xfId="336"/>
    <cellStyle name="40% - Accent4 2 8 2 2" xfId="337"/>
    <cellStyle name="40% - Accent4 2 8 3" xfId="338"/>
    <cellStyle name="40% - Accent4 2 9" xfId="339"/>
    <cellStyle name="40% - Accent4 2 9 2" xfId="340"/>
    <cellStyle name="40% - Accent4 2 9 2 2" xfId="341"/>
    <cellStyle name="40% - Accent4 2 9 3" xfId="342"/>
    <cellStyle name="40% - Accent5 2" xfId="343"/>
    <cellStyle name="40% - Accent5 2 10" xfId="344"/>
    <cellStyle name="40% - Accent5 2 2" xfId="345"/>
    <cellStyle name="40% - Accent5 2 2 2" xfId="346"/>
    <cellStyle name="40% - Accent5 2 2 2 2" xfId="347"/>
    <cellStyle name="40% - Accent5 2 2 3" xfId="348"/>
    <cellStyle name="40% - Accent5 2 3" xfId="349"/>
    <cellStyle name="40% - Accent5 2 3 2" xfId="350"/>
    <cellStyle name="40% - Accent5 2 3 2 2" xfId="351"/>
    <cellStyle name="40% - Accent5 2 3 3" xfId="352"/>
    <cellStyle name="40% - Accent5 2 4" xfId="353"/>
    <cellStyle name="40% - Accent5 2 4 2" xfId="354"/>
    <cellStyle name="40% - Accent5 2 4 2 2" xfId="355"/>
    <cellStyle name="40% - Accent5 2 4 3" xfId="356"/>
    <cellStyle name="40% - Accent5 2 5" xfId="357"/>
    <cellStyle name="40% - Accent5 2 5 2" xfId="358"/>
    <cellStyle name="40% - Accent5 2 5 2 2" xfId="359"/>
    <cellStyle name="40% - Accent5 2 5 3" xfId="360"/>
    <cellStyle name="40% - Accent5 2 6" xfId="361"/>
    <cellStyle name="40% - Accent5 2 6 2" xfId="362"/>
    <cellStyle name="40% - Accent5 2 6 2 2" xfId="363"/>
    <cellStyle name="40% - Accent5 2 6 3" xfId="364"/>
    <cellStyle name="40% - Accent5 2 7" xfId="365"/>
    <cellStyle name="40% - Accent5 2 7 2" xfId="366"/>
    <cellStyle name="40% - Accent5 2 7 2 2" xfId="367"/>
    <cellStyle name="40% - Accent5 2 7 3" xfId="368"/>
    <cellStyle name="40% - Accent5 2 8" xfId="369"/>
    <cellStyle name="40% - Accent5 2 8 2" xfId="370"/>
    <cellStyle name="40% - Accent5 2 8 2 2" xfId="371"/>
    <cellStyle name="40% - Accent5 2 8 3" xfId="372"/>
    <cellStyle name="40% - Accent5 2 9" xfId="373"/>
    <cellStyle name="40% - Accent5 2 9 2" xfId="374"/>
    <cellStyle name="40% - Accent5 2 9 2 2" xfId="375"/>
    <cellStyle name="40% - Accent5 2 9 3" xfId="376"/>
    <cellStyle name="40% - Accent6 2" xfId="377"/>
    <cellStyle name="40% - Accent6 2 10" xfId="378"/>
    <cellStyle name="40% - Accent6 2 2" xfId="379"/>
    <cellStyle name="40% - Accent6 2 2 2" xfId="380"/>
    <cellStyle name="40% - Accent6 2 2 2 2" xfId="381"/>
    <cellStyle name="40% - Accent6 2 2 3" xfId="382"/>
    <cellStyle name="40% - Accent6 2 3" xfId="383"/>
    <cellStyle name="40% - Accent6 2 3 2" xfId="384"/>
    <cellStyle name="40% - Accent6 2 3 2 2" xfId="385"/>
    <cellStyle name="40% - Accent6 2 3 3" xfId="386"/>
    <cellStyle name="40% - Accent6 2 4" xfId="387"/>
    <cellStyle name="40% - Accent6 2 4 2" xfId="388"/>
    <cellStyle name="40% - Accent6 2 4 2 2" xfId="389"/>
    <cellStyle name="40% - Accent6 2 4 3" xfId="390"/>
    <cellStyle name="40% - Accent6 2 5" xfId="391"/>
    <cellStyle name="40% - Accent6 2 5 2" xfId="392"/>
    <cellStyle name="40% - Accent6 2 5 2 2" xfId="393"/>
    <cellStyle name="40% - Accent6 2 5 3" xfId="394"/>
    <cellStyle name="40% - Accent6 2 6" xfId="395"/>
    <cellStyle name="40% - Accent6 2 6 2" xfId="396"/>
    <cellStyle name="40% - Accent6 2 6 2 2" xfId="397"/>
    <cellStyle name="40% - Accent6 2 6 3" xfId="398"/>
    <cellStyle name="40% - Accent6 2 7" xfId="399"/>
    <cellStyle name="40% - Accent6 2 7 2" xfId="400"/>
    <cellStyle name="40% - Accent6 2 7 2 2" xfId="401"/>
    <cellStyle name="40% - Accent6 2 7 3" xfId="402"/>
    <cellStyle name="40% - Accent6 2 8" xfId="403"/>
    <cellStyle name="40% - Accent6 2 8 2" xfId="404"/>
    <cellStyle name="40% - Accent6 2 8 2 2" xfId="405"/>
    <cellStyle name="40% - Accent6 2 8 3" xfId="406"/>
    <cellStyle name="40% - Accent6 2 9" xfId="407"/>
    <cellStyle name="40% - Accent6 2 9 2" xfId="408"/>
    <cellStyle name="40% - Accent6 2 9 2 2" xfId="409"/>
    <cellStyle name="40% - Accent6 2 9 3" xfId="410"/>
    <cellStyle name="60% - Accent1 2" xfId="411"/>
    <cellStyle name="60% - Accent1 2 2" xfId="412"/>
    <cellStyle name="60% - Accent1 2 3" xfId="413"/>
    <cellStyle name="60% - Accent1 2 4" xfId="414"/>
    <cellStyle name="60% - Accent1 2 5" xfId="415"/>
    <cellStyle name="60% - Accent1 2 6" xfId="416"/>
    <cellStyle name="60% - Accent1 2 7" xfId="417"/>
    <cellStyle name="60% - Accent1 2 8" xfId="418"/>
    <cellStyle name="60% - Accent1 2 9" xfId="419"/>
    <cellStyle name="60% - Accent2 2" xfId="420"/>
    <cellStyle name="60% - Accent2 2 2" xfId="421"/>
    <cellStyle name="60% - Accent2 2 3" xfId="422"/>
    <cellStyle name="60% - Accent2 2 4" xfId="423"/>
    <cellStyle name="60% - Accent2 2 5" xfId="424"/>
    <cellStyle name="60% - Accent2 2 6" xfId="425"/>
    <cellStyle name="60% - Accent2 2 7" xfId="426"/>
    <cellStyle name="60% - Accent2 2 8" xfId="427"/>
    <cellStyle name="60% - Accent2 2 9" xfId="428"/>
    <cellStyle name="60% - Accent3 2" xfId="429"/>
    <cellStyle name="60% - Accent3 2 2" xfId="430"/>
    <cellStyle name="60% - Accent3 2 3" xfId="431"/>
    <cellStyle name="60% - Accent3 2 4" xfId="432"/>
    <cellStyle name="60% - Accent3 2 5" xfId="433"/>
    <cellStyle name="60% - Accent3 2 6" xfId="434"/>
    <cellStyle name="60% - Accent3 2 7" xfId="435"/>
    <cellStyle name="60% - Accent3 2 8" xfId="436"/>
    <cellStyle name="60% - Accent3 2 9" xfId="437"/>
    <cellStyle name="60% - Accent4 2" xfId="438"/>
    <cellStyle name="60% - Accent4 2 2" xfId="439"/>
    <cellStyle name="60% - Accent4 2 3" xfId="440"/>
    <cellStyle name="60% - Accent4 2 4" xfId="441"/>
    <cellStyle name="60% - Accent4 2 5" xfId="442"/>
    <cellStyle name="60% - Accent4 2 6" xfId="443"/>
    <cellStyle name="60% - Accent4 2 7" xfId="444"/>
    <cellStyle name="60% - Accent4 2 8" xfId="445"/>
    <cellStyle name="60% - Accent4 2 9" xfId="446"/>
    <cellStyle name="60% - Accent5 2" xfId="447"/>
    <cellStyle name="60% - Accent5 2 2" xfId="448"/>
    <cellStyle name="60% - Accent5 2 3" xfId="449"/>
    <cellStyle name="60% - Accent5 2 4" xfId="450"/>
    <cellStyle name="60% - Accent5 2 5" xfId="451"/>
    <cellStyle name="60% - Accent5 2 6" xfId="452"/>
    <cellStyle name="60% - Accent5 2 7" xfId="453"/>
    <cellStyle name="60% - Accent5 2 8" xfId="454"/>
    <cellStyle name="60% - Accent5 2 9" xfId="455"/>
    <cellStyle name="60% - Accent6 2" xfId="456"/>
    <cellStyle name="60% - Accent6 2 2" xfId="457"/>
    <cellStyle name="60% - Accent6 2 3" xfId="458"/>
    <cellStyle name="60% - Accent6 2 4" xfId="459"/>
    <cellStyle name="60% - Accent6 2 5" xfId="460"/>
    <cellStyle name="60% - Accent6 2 6" xfId="461"/>
    <cellStyle name="60% - Accent6 2 7" xfId="462"/>
    <cellStyle name="60% - Accent6 2 8" xfId="463"/>
    <cellStyle name="60% - Accent6 2 9" xfId="464"/>
    <cellStyle name="Accent1 2" xfId="465"/>
    <cellStyle name="Accent1 2 2" xfId="466"/>
    <cellStyle name="Accent1 2 3" xfId="467"/>
    <cellStyle name="Accent1 2 4" xfId="468"/>
    <cellStyle name="Accent1 2 5" xfId="469"/>
    <cellStyle name="Accent1 2 6" xfId="470"/>
    <cellStyle name="Accent1 2 7" xfId="471"/>
    <cellStyle name="Accent1 2 8" xfId="472"/>
    <cellStyle name="Accent1 2 9" xfId="473"/>
    <cellStyle name="Accent2 2" xfId="474"/>
    <cellStyle name="Accent2 2 2" xfId="475"/>
    <cellStyle name="Accent2 2 3" xfId="476"/>
    <cellStyle name="Accent2 2 4" xfId="477"/>
    <cellStyle name="Accent2 2 5" xfId="478"/>
    <cellStyle name="Accent2 2 6" xfId="479"/>
    <cellStyle name="Accent2 2 7" xfId="480"/>
    <cellStyle name="Accent2 2 8" xfId="481"/>
    <cellStyle name="Accent2 2 9" xfId="482"/>
    <cellStyle name="Accent3 2" xfId="483"/>
    <cellStyle name="Accent3 2 2" xfId="484"/>
    <cellStyle name="Accent3 2 3" xfId="485"/>
    <cellStyle name="Accent3 2 4" xfId="486"/>
    <cellStyle name="Accent3 2 5" xfId="487"/>
    <cellStyle name="Accent3 2 6" xfId="488"/>
    <cellStyle name="Accent3 2 7" xfId="489"/>
    <cellStyle name="Accent3 2 8" xfId="490"/>
    <cellStyle name="Accent3 2 9" xfId="491"/>
    <cellStyle name="Accent4 2" xfId="492"/>
    <cellStyle name="Accent4 2 2" xfId="493"/>
    <cellStyle name="Accent4 2 3" xfId="494"/>
    <cellStyle name="Accent4 2 4" xfId="495"/>
    <cellStyle name="Accent4 2 5" xfId="496"/>
    <cellStyle name="Accent4 2 6" xfId="497"/>
    <cellStyle name="Accent4 2 7" xfId="498"/>
    <cellStyle name="Accent4 2 8" xfId="499"/>
    <cellStyle name="Accent4 2 9" xfId="500"/>
    <cellStyle name="Accent5 2" xfId="501"/>
    <cellStyle name="Accent5 2 2" xfId="502"/>
    <cellStyle name="Accent5 2 3" xfId="503"/>
    <cellStyle name="Accent5 2 4" xfId="504"/>
    <cellStyle name="Accent5 2 5" xfId="505"/>
    <cellStyle name="Accent5 2 6" xfId="506"/>
    <cellStyle name="Accent5 2 7" xfId="507"/>
    <cellStyle name="Accent5 2 8" xfId="508"/>
    <cellStyle name="Accent5 2 9" xfId="509"/>
    <cellStyle name="Accent6 2" xfId="510"/>
    <cellStyle name="Accent6 2 2" xfId="511"/>
    <cellStyle name="Accent6 2 3" xfId="512"/>
    <cellStyle name="Accent6 2 4" xfId="513"/>
    <cellStyle name="Accent6 2 5" xfId="514"/>
    <cellStyle name="Accent6 2 6" xfId="515"/>
    <cellStyle name="Accent6 2 7" xfId="516"/>
    <cellStyle name="Accent6 2 8" xfId="517"/>
    <cellStyle name="Accent6 2 9" xfId="518"/>
    <cellStyle name="Bad 2" xfId="519"/>
    <cellStyle name="Bad 2 2" xfId="520"/>
    <cellStyle name="Bad 2 3" xfId="521"/>
    <cellStyle name="Bad 2 4" xfId="522"/>
    <cellStyle name="Bad 2 5" xfId="523"/>
    <cellStyle name="Bad 2 6" xfId="524"/>
    <cellStyle name="Bad 2 7" xfId="525"/>
    <cellStyle name="Bad 2 8" xfId="526"/>
    <cellStyle name="Bad 2 9" xfId="527"/>
    <cellStyle name="Calculation 2" xfId="528"/>
    <cellStyle name="Calculation 2 2" xfId="529"/>
    <cellStyle name="Calculation 2 3" xfId="530"/>
    <cellStyle name="Calculation 2 4" xfId="531"/>
    <cellStyle name="Calculation 2 5" xfId="532"/>
    <cellStyle name="Calculation 2 6" xfId="533"/>
    <cellStyle name="Calculation 2 7" xfId="534"/>
    <cellStyle name="Calculation 2 8" xfId="535"/>
    <cellStyle name="Calculation 2 9" xfId="536"/>
    <cellStyle name="Check Cell 2" xfId="537"/>
    <cellStyle name="Check Cell 2 2" xfId="538"/>
    <cellStyle name="Check Cell 2 3" xfId="539"/>
    <cellStyle name="Check Cell 2 4" xfId="540"/>
    <cellStyle name="Check Cell 2 5" xfId="541"/>
    <cellStyle name="Check Cell 2 6" xfId="542"/>
    <cellStyle name="Check Cell 2 7" xfId="543"/>
    <cellStyle name="Check Cell 2 8" xfId="544"/>
    <cellStyle name="Check Cell 2 9" xfId="545"/>
    <cellStyle name="Comma" xfId="546" builtinId="3"/>
    <cellStyle name="Comma [0] 2" xfId="547"/>
    <cellStyle name="Comma [0] 3" xfId="548"/>
    <cellStyle name="Comma [0] 3 2" xfId="549"/>
    <cellStyle name="Comma [0] 3 2 2" xfId="550"/>
    <cellStyle name="Comma [0] 3 2 2 2" xfId="551"/>
    <cellStyle name="Comma [0] 3 2 3" xfId="552"/>
    <cellStyle name="Comma [0] 3 3" xfId="553"/>
    <cellStyle name="Comma [0] 3 3 2" xfId="554"/>
    <cellStyle name="Comma [0] 3 3 2 2" xfId="555"/>
    <cellStyle name="Comma [0] 3 3 3" xfId="556"/>
    <cellStyle name="Comma [0] 3 4" xfId="557"/>
    <cellStyle name="Comma [0] 3 4 2" xfId="558"/>
    <cellStyle name="Comma [0] 3 5" xfId="559"/>
    <cellStyle name="Comma [0] 3 5 2" xfId="560"/>
    <cellStyle name="Comma [0] 3 6" xfId="561"/>
    <cellStyle name="Comma 2" xfId="562"/>
    <cellStyle name="Comma 2 2" xfId="563"/>
    <cellStyle name="Comma 2 3" xfId="564"/>
    <cellStyle name="Comma 2 4" xfId="565"/>
    <cellStyle name="Comma 2 5" xfId="566"/>
    <cellStyle name="Comma 2 6" xfId="567"/>
    <cellStyle name="Comma 2 7" xfId="568"/>
    <cellStyle name="Comma 3" xfId="569"/>
    <cellStyle name="Comma 3 2" xfId="570"/>
    <cellStyle name="Comma 3 2 2" xfId="571"/>
    <cellStyle name="Comma 3 3" xfId="572"/>
    <cellStyle name="Comma 3 3 2" xfId="573"/>
    <cellStyle name="Comma 3 3 2 2" xfId="574"/>
    <cellStyle name="Comma 3 3 3" xfId="575"/>
    <cellStyle name="Comma 3 3 4" xfId="576"/>
    <cellStyle name="Comma 3 4" xfId="577"/>
    <cellStyle name="Comma 3 5" xfId="578"/>
    <cellStyle name="Comma 4" xfId="579"/>
    <cellStyle name="Comma 4 2" xfId="580"/>
    <cellStyle name="Comma 4 2 2" xfId="581"/>
    <cellStyle name="Comma 4 3" xfId="582"/>
    <cellStyle name="Comma 4 3 2" xfId="583"/>
    <cellStyle name="Comma 4 4" xfId="584"/>
    <cellStyle name="Comma 5" xfId="585"/>
    <cellStyle name="Comma 5 2" xfId="586"/>
    <cellStyle name="Comma 6" xfId="587"/>
    <cellStyle name="Comma 6 2" xfId="588"/>
    <cellStyle name="Comma 6 2 2" xfId="589"/>
    <cellStyle name="Comma 6 3" xfId="590"/>
    <cellStyle name="Comma 7" xfId="591"/>
    <cellStyle name="Comma 7 2" xfId="592"/>
    <cellStyle name="Comma 7 2 2" xfId="593"/>
    <cellStyle name="Comma 7 3" xfId="594"/>
    <cellStyle name="Comma 8" xfId="595"/>
    <cellStyle name="Comma 8 2" xfId="596"/>
    <cellStyle name="Comma 8 2 2" xfId="597"/>
    <cellStyle name="Comma 8 3" xfId="598"/>
    <cellStyle name="Currency 2" xfId="599"/>
    <cellStyle name="Currency 2 2" xfId="600"/>
    <cellStyle name="Currency 2 2 2" xfId="601"/>
    <cellStyle name="Currency 2 3" xfId="602"/>
    <cellStyle name="Currency 2 3 2" xfId="603"/>
    <cellStyle name="Currency 3" xfId="604"/>
    <cellStyle name="Currency 3 2" xfId="605"/>
    <cellStyle name="Currency 3 2 2" xfId="606"/>
    <cellStyle name="Currency 3 2 2 2" xfId="607"/>
    <cellStyle name="Currency 3 2 3" xfId="608"/>
    <cellStyle name="Currency 3 2 4" xfId="609"/>
    <cellStyle name="Currency 3 3" xfId="610"/>
    <cellStyle name="Currency 3 3 2" xfId="611"/>
    <cellStyle name="Currency 3 3 2 2" xfId="612"/>
    <cellStyle name="Currency 3 3 3" xfId="613"/>
    <cellStyle name="Currency 3 4" xfId="614"/>
    <cellStyle name="Currency 3 4 2" xfId="615"/>
    <cellStyle name="Currency 3 5" xfId="616"/>
    <cellStyle name="Currency 3 5 2" xfId="617"/>
    <cellStyle name="Currency 3 6" xfId="618"/>
    <cellStyle name="Currency 3 7" xfId="619"/>
    <cellStyle name="Currency 4" xfId="620"/>
    <cellStyle name="Currency 5" xfId="621"/>
    <cellStyle name="Currency 5 2" xfId="622"/>
    <cellStyle name="Explanatory Text 2" xfId="623"/>
    <cellStyle name="Explanatory Text 2 2" xfId="624"/>
    <cellStyle name="Explanatory Text 2 3" xfId="625"/>
    <cellStyle name="Explanatory Text 2 4" xfId="626"/>
    <cellStyle name="Explanatory Text 2 5" xfId="627"/>
    <cellStyle name="Explanatory Text 2 6" xfId="628"/>
    <cellStyle name="Explanatory Text 2 7" xfId="629"/>
    <cellStyle name="Explanatory Text 2 8" xfId="630"/>
    <cellStyle name="Explanatory Text 2 9" xfId="631"/>
    <cellStyle name="Good 2" xfId="632"/>
    <cellStyle name="Good 2 2" xfId="633"/>
    <cellStyle name="Good 2 3" xfId="634"/>
    <cellStyle name="Good 2 4" xfId="635"/>
    <cellStyle name="Good 2 5" xfId="636"/>
    <cellStyle name="Good 2 6" xfId="637"/>
    <cellStyle name="Good 2 7" xfId="638"/>
    <cellStyle name="Good 2 8" xfId="639"/>
    <cellStyle name="Good 2 9" xfId="640"/>
    <cellStyle name="Heading 1 2" xfId="641"/>
    <cellStyle name="Heading 1 2 2" xfId="642"/>
    <cellStyle name="Heading 1 2 3" xfId="643"/>
    <cellStyle name="Heading 1 2 4" xfId="644"/>
    <cellStyle name="Heading 1 2 5" xfId="645"/>
    <cellStyle name="Heading 1 2 6" xfId="646"/>
    <cellStyle name="Heading 1 2 7" xfId="647"/>
    <cellStyle name="Heading 1 2 8" xfId="648"/>
    <cellStyle name="Heading 1 2 9" xfId="649"/>
    <cellStyle name="Heading 2 2" xfId="650"/>
    <cellStyle name="Heading 2 2 2" xfId="651"/>
    <cellStyle name="Heading 2 2 3" xfId="652"/>
    <cellStyle name="Heading 2 2 4" xfId="653"/>
    <cellStyle name="Heading 2 2 5" xfId="654"/>
    <cellStyle name="Heading 2 2 6" xfId="655"/>
    <cellStyle name="Heading 2 2 7" xfId="656"/>
    <cellStyle name="Heading 2 2 8" xfId="657"/>
    <cellStyle name="Heading 2 2 9" xfId="658"/>
    <cellStyle name="Heading 3 2" xfId="659"/>
    <cellStyle name="Heading 3 2 2" xfId="660"/>
    <cellStyle name="Heading 3 2 3" xfId="661"/>
    <cellStyle name="Heading 3 2 4" xfId="662"/>
    <cellStyle name="Heading 3 2 5" xfId="663"/>
    <cellStyle name="Heading 3 2 6" xfId="664"/>
    <cellStyle name="Heading 3 2 7" xfId="665"/>
    <cellStyle name="Heading 3 2 8" xfId="666"/>
    <cellStyle name="Heading 3 2 9" xfId="667"/>
    <cellStyle name="Heading 4 2" xfId="668"/>
    <cellStyle name="Heading 4 2 2" xfId="669"/>
    <cellStyle name="Heading 4 2 3" xfId="670"/>
    <cellStyle name="Heading 4 2 4" xfId="671"/>
    <cellStyle name="Heading 4 2 5" xfId="672"/>
    <cellStyle name="Heading 4 2 6" xfId="673"/>
    <cellStyle name="Heading 4 2 7" xfId="674"/>
    <cellStyle name="Heading 4 2 8" xfId="675"/>
    <cellStyle name="Heading 4 2 9" xfId="676"/>
    <cellStyle name="Hyperlink" xfId="677" builtinId="8"/>
    <cellStyle name="Hyperlink 2" xfId="678"/>
    <cellStyle name="Hyperlink 2 2" xfId="679"/>
    <cellStyle name="Hyperlink 2 2 2" xfId="680"/>
    <cellStyle name="Hyperlink 2 2 3" xfId="681"/>
    <cellStyle name="Hyperlink 2 2 4" xfId="682"/>
    <cellStyle name="Hyperlink 2 3" xfId="683"/>
    <cellStyle name="Hyperlink 2 4" xfId="684"/>
    <cellStyle name="Hyperlink 2 5" xfId="685"/>
    <cellStyle name="Hyperlink 3" xfId="686"/>
    <cellStyle name="Hyperlink 4" xfId="687"/>
    <cellStyle name="Hyperlink 4 2" xfId="688"/>
    <cellStyle name="Hyperlink 4 3" xfId="689"/>
    <cellStyle name="Hyperlink 5" xfId="690"/>
    <cellStyle name="Input 2" xfId="691"/>
    <cellStyle name="Input 2 2" xfId="692"/>
    <cellStyle name="Input 2 3" xfId="693"/>
    <cellStyle name="Input 2 4" xfId="694"/>
    <cellStyle name="Input 2 5" xfId="695"/>
    <cellStyle name="Input 2 6" xfId="696"/>
    <cellStyle name="Input 2 7" xfId="697"/>
    <cellStyle name="Input 2 8" xfId="698"/>
    <cellStyle name="Input 2 9" xfId="699"/>
    <cellStyle name="Linked Cell 2" xfId="700"/>
    <cellStyle name="Linked Cell 2 2" xfId="701"/>
    <cellStyle name="Linked Cell 2 3" xfId="702"/>
    <cellStyle name="Linked Cell 2 4" xfId="703"/>
    <cellStyle name="Linked Cell 2 5" xfId="704"/>
    <cellStyle name="Linked Cell 2 6" xfId="705"/>
    <cellStyle name="Linked Cell 2 7" xfId="706"/>
    <cellStyle name="Linked Cell 2 8" xfId="707"/>
    <cellStyle name="Linked Cell 2 9" xfId="708"/>
    <cellStyle name="Neutral 2" xfId="709"/>
    <cellStyle name="Neutral 2 2" xfId="710"/>
    <cellStyle name="Neutral 2 3" xfId="711"/>
    <cellStyle name="Neutral 2 4" xfId="712"/>
    <cellStyle name="Neutral 2 5" xfId="713"/>
    <cellStyle name="Neutral 2 6" xfId="714"/>
    <cellStyle name="Neutral 2 7" xfId="715"/>
    <cellStyle name="Neutral 2 8" xfId="716"/>
    <cellStyle name="Neutral 2 9" xfId="717"/>
    <cellStyle name="Normal" xfId="0" builtinId="0"/>
    <cellStyle name="Normal 10" xfId="718"/>
    <cellStyle name="Normal 10 2" xfId="719"/>
    <cellStyle name="Normal 10 3" xfId="720"/>
    <cellStyle name="Normal 10 4" xfId="721"/>
    <cellStyle name="Normal 11" xfId="722"/>
    <cellStyle name="Normal 11 2" xfId="723"/>
    <cellStyle name="Normal 12" xfId="724"/>
    <cellStyle name="Normal 12 2" xfId="725"/>
    <cellStyle name="Normal 13" xfId="726"/>
    <cellStyle name="Normal 13 2" xfId="727"/>
    <cellStyle name="Normal 13 3" xfId="728"/>
    <cellStyle name="Normal 14" xfId="729"/>
    <cellStyle name="Normal 14 2" xfId="730"/>
    <cellStyle name="Normal 15" xfId="731"/>
    <cellStyle name="Normal 16" xfId="732"/>
    <cellStyle name="Normal 17" xfId="733"/>
    <cellStyle name="Normal 17 2" xfId="734"/>
    <cellStyle name="Normal 17 3" xfId="735"/>
    <cellStyle name="Normal 18" xfId="736"/>
    <cellStyle name="Normal 18 2" xfId="737"/>
    <cellStyle name="Normal 19" xfId="738"/>
    <cellStyle name="Normal 2" xfId="739"/>
    <cellStyle name="Normal 2 10" xfId="740"/>
    <cellStyle name="Normal 2 11" xfId="741"/>
    <cellStyle name="Normal 2 12" xfId="742"/>
    <cellStyle name="Normal 2 13" xfId="743"/>
    <cellStyle name="Normal 2 14" xfId="744"/>
    <cellStyle name="Normal 2 15" xfId="745"/>
    <cellStyle name="Normal 2 2" xfId="746"/>
    <cellStyle name="Normal 2 2 2" xfId="747"/>
    <cellStyle name="Normal 2 2 2 2" xfId="748"/>
    <cellStyle name="Normal 2 2 3" xfId="749"/>
    <cellStyle name="Normal 2 2 4" xfId="750"/>
    <cellStyle name="Normal 2 2 5" xfId="751"/>
    <cellStyle name="Normal 2 2 6" xfId="752"/>
    <cellStyle name="Normal 2 2 7" xfId="753"/>
    <cellStyle name="Normal 2 2 8" xfId="754"/>
    <cellStyle name="Normal 2 2 9" xfId="755"/>
    <cellStyle name="Normal 2 2_modelattr1" xfId="756"/>
    <cellStyle name="Normal 2 3" xfId="757"/>
    <cellStyle name="Normal 2 3 2" xfId="758"/>
    <cellStyle name="Normal 2 4" xfId="759"/>
    <cellStyle name="Normal 2 5" xfId="760"/>
    <cellStyle name="Normal 2 6" xfId="761"/>
    <cellStyle name="Normal 2 7" xfId="762"/>
    <cellStyle name="Normal 2 8" xfId="763"/>
    <cellStyle name="Normal 2 9" xfId="764"/>
    <cellStyle name="Normal 20" xfId="765"/>
    <cellStyle name="Normal 21" xfId="766"/>
    <cellStyle name="Normal 22" xfId="767"/>
    <cellStyle name="Normal 23" xfId="768"/>
    <cellStyle name="Normal 23 2" xfId="769"/>
    <cellStyle name="Normal 24" xfId="770"/>
    <cellStyle name="Normal 24 2" xfId="771"/>
    <cellStyle name="Normal 25" xfId="772"/>
    <cellStyle name="Normal 25 2" xfId="773"/>
    <cellStyle name="Normal 3" xfId="774"/>
    <cellStyle name="Normal 3 10" xfId="775"/>
    <cellStyle name="Normal 3 11" xfId="776"/>
    <cellStyle name="Normal 3 12" xfId="777"/>
    <cellStyle name="Normal 3 13" xfId="778"/>
    <cellStyle name="Normal 3 14" xfId="779"/>
    <cellStyle name="Normal 3 2" xfId="780"/>
    <cellStyle name="Normal 3 2 2" xfId="781"/>
    <cellStyle name="Normal 3 2 3" xfId="782"/>
    <cellStyle name="Normal 3 2 4" xfId="783"/>
    <cellStyle name="Normal 3 2_modelattr1" xfId="784"/>
    <cellStyle name="Normal 3 3" xfId="785"/>
    <cellStyle name="Normal 3 3 2" xfId="786"/>
    <cellStyle name="Normal 3 4" xfId="787"/>
    <cellStyle name="Normal 3 5" xfId="788"/>
    <cellStyle name="Normal 3 6" xfId="789"/>
    <cellStyle name="Normal 3 7" xfId="790"/>
    <cellStyle name="Normal 3 8" xfId="791"/>
    <cellStyle name="Normal 3 9" xfId="792"/>
    <cellStyle name="Normal 3_modelattr1" xfId="793"/>
    <cellStyle name="Normal 4" xfId="794"/>
    <cellStyle name="Normal 4 10" xfId="795"/>
    <cellStyle name="Normal 4 11" xfId="796"/>
    <cellStyle name="Normal 4 12" xfId="797"/>
    <cellStyle name="Normal 4 13" xfId="798"/>
    <cellStyle name="Normal 4 2" xfId="799"/>
    <cellStyle name="Normal 4 3" xfId="800"/>
    <cellStyle name="Normal 4 4" xfId="801"/>
    <cellStyle name="Normal 4 5" xfId="802"/>
    <cellStyle name="Normal 4 6" xfId="803"/>
    <cellStyle name="Normal 4 7" xfId="804"/>
    <cellStyle name="Normal 4 8" xfId="805"/>
    <cellStyle name="Normal 4 9" xfId="806"/>
    <cellStyle name="Normal 4 9 2" xfId="807"/>
    <cellStyle name="Normal 5" xfId="808"/>
    <cellStyle name="Normal 5 10" xfId="809"/>
    <cellStyle name="Normal 5 11" xfId="810"/>
    <cellStyle name="Normal 5 2" xfId="811"/>
    <cellStyle name="Normal 5 3" xfId="812"/>
    <cellStyle name="Normal 5 4" xfId="813"/>
    <cellStyle name="Normal 5 5" xfId="814"/>
    <cellStyle name="Normal 5 6" xfId="815"/>
    <cellStyle name="Normal 5 7" xfId="816"/>
    <cellStyle name="Normal 5 8" xfId="817"/>
    <cellStyle name="Normal 5 9" xfId="818"/>
    <cellStyle name="Normal 5_modelattr1" xfId="819"/>
    <cellStyle name="Normal 6" xfId="820"/>
    <cellStyle name="Normal 6 2" xfId="821"/>
    <cellStyle name="Normal 6 3" xfId="822"/>
    <cellStyle name="Normal 6 4" xfId="823"/>
    <cellStyle name="Normal 6 5" xfId="824"/>
    <cellStyle name="Normal 6 6" xfId="825"/>
    <cellStyle name="Normal 6 7" xfId="826"/>
    <cellStyle name="Normal 6 8" xfId="827"/>
    <cellStyle name="Normal 6 9" xfId="828"/>
    <cellStyle name="Normal 7" xfId="829"/>
    <cellStyle name="Normal 7 2" xfId="830"/>
    <cellStyle name="Normal 7 2 2" xfId="831"/>
    <cellStyle name="Normal 7 3" xfId="832"/>
    <cellStyle name="Normal 7 4" xfId="833"/>
    <cellStyle name="Normal 7 5" xfId="834"/>
    <cellStyle name="Normal 7 6" xfId="835"/>
    <cellStyle name="Normal 7 7" xfId="836"/>
    <cellStyle name="Normal 7 8" xfId="837"/>
    <cellStyle name="Normal 7 9" xfId="838"/>
    <cellStyle name="Normal 7_modelattr1" xfId="839"/>
    <cellStyle name="Normal 8" xfId="840"/>
    <cellStyle name="Normal 8 2" xfId="841"/>
    <cellStyle name="Normal 8 3" xfId="842"/>
    <cellStyle name="Normal 8 4" xfId="843"/>
    <cellStyle name="Normal 8 5" xfId="844"/>
    <cellStyle name="Normal 8 6" xfId="845"/>
    <cellStyle name="Normal 8 7" xfId="846"/>
    <cellStyle name="Normal 8 8" xfId="847"/>
    <cellStyle name="Normal 9" xfId="848"/>
    <cellStyle name="Normal 9 2" xfId="849"/>
    <cellStyle name="Note 2" xfId="850"/>
    <cellStyle name="Note 2 10" xfId="851"/>
    <cellStyle name="Note 2 11" xfId="852"/>
    <cellStyle name="Note 2 2" xfId="853"/>
    <cellStyle name="Note 2 2 2" xfId="854"/>
    <cellStyle name="Note 2 2 2 2" xfId="855"/>
    <cellStyle name="Note 2 2 2 2 2" xfId="856"/>
    <cellStyle name="Note 2 2 2 3" xfId="857"/>
    <cellStyle name="Note 2 2 3" xfId="858"/>
    <cellStyle name="Note 2 2 3 2" xfId="859"/>
    <cellStyle name="Note 2 2 4" xfId="860"/>
    <cellStyle name="Note 2 2 5" xfId="861"/>
    <cellStyle name="Note 2 3" xfId="862"/>
    <cellStyle name="Note 2 4" xfId="863"/>
    <cellStyle name="Note 2 5" xfId="864"/>
    <cellStyle name="Note 2 6" xfId="865"/>
    <cellStyle name="Note 2 7" xfId="866"/>
    <cellStyle name="Note 2 8" xfId="867"/>
    <cellStyle name="Note 2 9" xfId="868"/>
    <cellStyle name="Output 2" xfId="869"/>
    <cellStyle name="Output 2 2" xfId="870"/>
    <cellStyle name="Output 2 3" xfId="871"/>
    <cellStyle name="Output 2 4" xfId="872"/>
    <cellStyle name="Output 2 5" xfId="873"/>
    <cellStyle name="Output 2 6" xfId="874"/>
    <cellStyle name="Output 2 7" xfId="875"/>
    <cellStyle name="Output 2 8" xfId="876"/>
    <cellStyle name="Output 2 9" xfId="877"/>
    <cellStyle name="Percent 2" xfId="878"/>
    <cellStyle name="Percent 2 2" xfId="879"/>
    <cellStyle name="Percent 2 2 2" xfId="880"/>
    <cellStyle name="Percent 2 3" xfId="881"/>
    <cellStyle name="Percent 2 4" xfId="882"/>
    <cellStyle name="Percent 2 5" xfId="883"/>
    <cellStyle name="Percent 2 6" xfId="884"/>
    <cellStyle name="Percent 2 7" xfId="885"/>
    <cellStyle name="Percent 3" xfId="886"/>
    <cellStyle name="Percent 3 2" xfId="887"/>
    <cellStyle name="Percent 3 3" xfId="888"/>
    <cellStyle name="Percent 4" xfId="889"/>
    <cellStyle name="Percent 4 2" xfId="890"/>
    <cellStyle name="Percent 5" xfId="891"/>
    <cellStyle name="Percent 5 2" xfId="892"/>
    <cellStyle name="Percent 6" xfId="893"/>
    <cellStyle name="SelectFormat" xfId="894"/>
    <cellStyle name="SelectFormat 2" xfId="895"/>
    <cellStyle name="SelectFormat 2 2" xfId="896"/>
    <cellStyle name="SelectFormat 3" xfId="897"/>
    <cellStyle name="SelectFormat_Submission Teams by Workgroup" xfId="898"/>
    <cellStyle name="Title 2" xfId="899"/>
    <cellStyle name="Title 2 2" xfId="900"/>
    <cellStyle name="Title 2 3" xfId="901"/>
    <cellStyle name="Title 2 4" xfId="902"/>
    <cellStyle name="Title 2 5" xfId="903"/>
    <cellStyle name="Title 2 6" xfId="904"/>
    <cellStyle name="Title 2 7" xfId="905"/>
    <cellStyle name="Title 2 8" xfId="906"/>
    <cellStyle name="Title 2 9" xfId="907"/>
    <cellStyle name="Total 2" xfId="908"/>
    <cellStyle name="Total 2 2" xfId="909"/>
    <cellStyle name="Total 2 3" xfId="910"/>
    <cellStyle name="Total 2 4" xfId="911"/>
    <cellStyle name="Total 2 5" xfId="912"/>
    <cellStyle name="Total 2 6" xfId="913"/>
    <cellStyle name="Total 2 7" xfId="914"/>
    <cellStyle name="Total 2 8" xfId="915"/>
    <cellStyle name="Total 2 9" xfId="916"/>
    <cellStyle name="Warning Text 2" xfId="917"/>
    <cellStyle name="Warning Text 2 2" xfId="918"/>
    <cellStyle name="Warning Text 2 3" xfId="919"/>
    <cellStyle name="Warning Text 2 4" xfId="920"/>
    <cellStyle name="Warning Text 2 5" xfId="921"/>
    <cellStyle name="Warning Text 2 6" xfId="922"/>
    <cellStyle name="Warning Text 2 7" xfId="923"/>
    <cellStyle name="Warning Text 2 8" xfId="924"/>
    <cellStyle name="Warning Text 2 9" xfId="92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6C6C2"/>
      <color rgb="FFCF7977"/>
      <color rgb="FFEF2121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198120</xdr:colOff>
      <xdr:row>1</xdr:row>
      <xdr:rowOff>53340</xdr:rowOff>
    </xdr:from>
    <xdr:to>
      <xdr:col>13</xdr:col>
      <xdr:colOff>76200</xdr:colOff>
      <xdr:row>7</xdr:row>
      <xdr:rowOff>257175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228600"/>
          <a:ext cx="1301920" cy="120396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2</xdr:row>
      <xdr:rowOff>19050</xdr:rowOff>
    </xdr:from>
    <xdr:to>
      <xdr:col>2</xdr:col>
      <xdr:colOff>1314450</xdr:colOff>
      <xdr:row>7</xdr:row>
      <xdr:rowOff>38100</xdr:rowOff>
    </xdr:to>
    <xdr:pic>
      <xdr:nvPicPr>
        <xdr:cNvPr id="5" name="Picture 4" descr="logo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0075" y="352425"/>
          <a:ext cx="1213089" cy="857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257175</xdr:colOff>
      <xdr:row>1</xdr:row>
      <xdr:rowOff>15240</xdr:rowOff>
    </xdr:from>
    <xdr:to>
      <xdr:col>11</xdr:col>
      <xdr:colOff>1276350</xdr:colOff>
      <xdr:row>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2875" y="177165"/>
          <a:ext cx="1279060" cy="1194435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</xdr:row>
      <xdr:rowOff>19050</xdr:rowOff>
    </xdr:from>
    <xdr:to>
      <xdr:col>2</xdr:col>
      <xdr:colOff>485775</xdr:colOff>
      <xdr:row>6</xdr:row>
      <xdr:rowOff>114300</xdr:rowOff>
    </xdr:to>
    <xdr:pic>
      <xdr:nvPicPr>
        <xdr:cNvPr id="4" name="Picture 3" descr="logo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8600" y="342900"/>
          <a:ext cx="1213089" cy="857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161925</xdr:colOff>
      <xdr:row>0</xdr:row>
      <xdr:rowOff>91440</xdr:rowOff>
    </xdr:from>
    <xdr:to>
      <xdr:col>18</xdr:col>
      <xdr:colOff>200025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7175" y="91440"/>
          <a:ext cx="1275250" cy="11944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133350</xdr:colOff>
      <xdr:row>6</xdr:row>
      <xdr:rowOff>95250</xdr:rowOff>
    </xdr:to>
    <xdr:pic>
      <xdr:nvPicPr>
        <xdr:cNvPr id="4" name="Picture 3" descr="logo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7675" y="323850"/>
          <a:ext cx="1213089" cy="857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139065</xdr:rowOff>
    </xdr:from>
    <xdr:to>
      <xdr:col>19</xdr:col>
      <xdr:colOff>657225</xdr:colOff>
      <xdr:row>8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73075" y="300990"/>
          <a:ext cx="1275250" cy="11944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104775</xdr:colOff>
      <xdr:row>6</xdr:row>
      <xdr:rowOff>95250</xdr:rowOff>
    </xdr:to>
    <xdr:pic>
      <xdr:nvPicPr>
        <xdr:cNvPr id="5" name="Picture 4" descr="logo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7675" y="323850"/>
          <a:ext cx="1213089" cy="857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419100</xdr:colOff>
      <xdr:row>1</xdr:row>
      <xdr:rowOff>5715</xdr:rowOff>
    </xdr:from>
    <xdr:to>
      <xdr:col>14</xdr:col>
      <xdr:colOff>485775</xdr:colOff>
      <xdr:row>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167640"/>
          <a:ext cx="1275250" cy="11944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1209675</xdr:colOff>
      <xdr:row>6</xdr:row>
      <xdr:rowOff>95250</xdr:rowOff>
    </xdr:to>
    <xdr:pic>
      <xdr:nvPicPr>
        <xdr:cNvPr id="4" name="Picture 3" descr="logo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7675" y="323850"/>
          <a:ext cx="1213089" cy="857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</xdr:colOff>
      <xdr:row>1</xdr:row>
      <xdr:rowOff>5715</xdr:rowOff>
    </xdr:from>
    <xdr:to>
      <xdr:col>14</xdr:col>
      <xdr:colOff>95250</xdr:colOff>
      <xdr:row>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167640"/>
          <a:ext cx="1275250" cy="11944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171450</xdr:colOff>
      <xdr:row>6</xdr:row>
      <xdr:rowOff>95250</xdr:rowOff>
    </xdr:to>
    <xdr:pic>
      <xdr:nvPicPr>
        <xdr:cNvPr id="4" name="Picture 3" descr="logo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7675" y="323850"/>
          <a:ext cx="1213089" cy="8572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1</xdr:row>
      <xdr:rowOff>81915</xdr:rowOff>
    </xdr:from>
    <xdr:to>
      <xdr:col>10</xdr:col>
      <xdr:colOff>142875</xdr:colOff>
      <xdr:row>8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243840"/>
          <a:ext cx="1275250" cy="11944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47625</xdr:colOff>
      <xdr:row>6</xdr:row>
      <xdr:rowOff>95250</xdr:rowOff>
    </xdr:to>
    <xdr:pic>
      <xdr:nvPicPr>
        <xdr:cNvPr id="4" name="Picture 3" descr="logo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7675" y="323850"/>
          <a:ext cx="1213089" cy="8572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1</xdr:row>
      <xdr:rowOff>53340</xdr:rowOff>
    </xdr:from>
    <xdr:to>
      <xdr:col>11</xdr:col>
      <xdr:colOff>438150</xdr:colOff>
      <xdr:row>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8800" y="228600"/>
          <a:ext cx="1301920" cy="1203960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1</xdr:row>
      <xdr:rowOff>123825</xdr:rowOff>
    </xdr:from>
    <xdr:to>
      <xdr:col>3</xdr:col>
      <xdr:colOff>19050</xdr:colOff>
      <xdr:row>6</xdr:row>
      <xdr:rowOff>57150</xdr:rowOff>
    </xdr:to>
    <xdr:pic>
      <xdr:nvPicPr>
        <xdr:cNvPr id="4" name="Picture 3" descr="logo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8125" y="285750"/>
          <a:ext cx="1213089" cy="8572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114300</xdr:colOff>
      <xdr:row>1</xdr:row>
      <xdr:rowOff>53340</xdr:rowOff>
    </xdr:from>
    <xdr:to>
      <xdr:col>13</xdr:col>
      <xdr:colOff>438150</xdr:colOff>
      <xdr:row>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3300" y="228600"/>
          <a:ext cx="1301920" cy="120396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</xdr:row>
      <xdr:rowOff>152400</xdr:rowOff>
    </xdr:from>
    <xdr:to>
      <xdr:col>2</xdr:col>
      <xdr:colOff>409575</xdr:colOff>
      <xdr:row>6</xdr:row>
      <xdr:rowOff>85725</xdr:rowOff>
    </xdr:to>
    <xdr:pic>
      <xdr:nvPicPr>
        <xdr:cNvPr id="4" name="Picture 3" descr="logo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2400" y="314325"/>
          <a:ext cx="1213089" cy="8572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114300</xdr:colOff>
      <xdr:row>1</xdr:row>
      <xdr:rowOff>53340</xdr:rowOff>
    </xdr:from>
    <xdr:to>
      <xdr:col>13</xdr:col>
      <xdr:colOff>438150</xdr:colOff>
      <xdr:row>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525" y="215265"/>
          <a:ext cx="1279060" cy="118491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</xdr:row>
      <xdr:rowOff>19050</xdr:rowOff>
    </xdr:from>
    <xdr:to>
      <xdr:col>3</xdr:col>
      <xdr:colOff>47625</xdr:colOff>
      <xdr:row>6</xdr:row>
      <xdr:rowOff>114300</xdr:rowOff>
    </xdr:to>
    <xdr:pic>
      <xdr:nvPicPr>
        <xdr:cNvPr id="4" name="Picture 3" descr="logo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6700" y="342900"/>
          <a:ext cx="1213089" cy="85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N26"/>
  <sheetViews>
    <sheetView showGridLines="0" topLeftCell="A7" workbookViewId="0"/>
  </sheetViews>
  <sheetFormatPr defaultColWidth="9.26953125" defaultRowHeight="13" x14ac:dyDescent="0.3"/>
  <cols>
    <col min="1" max="1" width="3.7265625" customWidth="1" style="926"/>
    <col min="2" max="2" width="3.7265625" customWidth="1" style="926"/>
    <col min="3" max="3" width="20.7265625" customWidth="1" style="926"/>
    <col min="4" max="4" bestFit="1" width="38" customWidth="1" style="926"/>
    <col min="5" max="5" width="6.453125" customWidth="1" style="926"/>
    <col min="6" max="6" width="6.453125" customWidth="1" style="926"/>
    <col min="7" max="7" width="6.453125" customWidth="1" style="926"/>
    <col min="8" max="8" width="6.453125" customWidth="1" style="926"/>
    <col min="9" max="9" width="6.453125" customWidth="1" style="926"/>
    <col min="10" max="10" width="6.453125" customWidth="1" style="926"/>
    <col min="11" max="11" width="6.453125" customWidth="1" style="926"/>
    <col min="12" max="12" width="6.453125" customWidth="1" style="926"/>
    <col min="13" max="13" width="20.7265625" customWidth="1" style="926"/>
    <col min="14" max="14" width="3.7265625" customWidth="1" style="926"/>
    <col min="15" max="15" width="3.7265625" customWidth="1" style="926"/>
    <col min="16" max="16" width="9.26953125" customWidth="1" style="926"/>
    <col min="17" max="16384" width="9.26953125" customWidth="1" style="926"/>
  </cols>
  <sheetData>
    <row r="1" ht="13.5"/>
    <row r="2">
      <c r="B2" s="932"/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4"/>
    </row>
    <row r="3">
      <c r="B3" s="935"/>
      <c r="C3" s="931"/>
      <c r="D3" s="974" t="s">
        <v>0</v>
      </c>
      <c r="E3" s="974"/>
      <c r="F3" s="974"/>
      <c r="G3" s="974"/>
      <c r="H3" s="974"/>
      <c r="I3" s="974"/>
      <c r="J3" s="974"/>
      <c r="K3" s="974"/>
      <c r="L3" s="974"/>
      <c r="M3" s="931"/>
      <c r="N3" s="936"/>
    </row>
    <row r="4">
      <c r="B4" s="935"/>
      <c r="C4" s="931"/>
      <c r="D4" s="974"/>
      <c r="E4" s="974"/>
      <c r="F4" s="974"/>
      <c r="G4" s="974"/>
      <c r="H4" s="974"/>
      <c r="I4" s="974"/>
      <c r="J4" s="974"/>
      <c r="K4" s="974"/>
      <c r="L4" s="974"/>
      <c r="M4" s="931"/>
      <c r="N4" s="936"/>
    </row>
    <row r="5" ht="14.5">
      <c r="B5" s="935"/>
      <c r="C5" s="931"/>
      <c r="D5" s="930"/>
      <c r="E5" s="930"/>
      <c r="F5" s="930"/>
      <c r="G5" s="930"/>
      <c r="H5" s="930"/>
      <c r="I5" s="930"/>
      <c r="J5" s="930"/>
      <c r="K5" s="930"/>
      <c r="L5" s="930"/>
      <c r="M5" s="931"/>
      <c r="N5" s="936"/>
    </row>
    <row r="6">
      <c r="B6" s="935"/>
      <c r="C6" s="931"/>
      <c r="D6" s="975" t="s">
        <v>1</v>
      </c>
      <c r="E6" s="976"/>
      <c r="F6" s="976"/>
      <c r="G6" s="976"/>
      <c r="H6" s="976"/>
      <c r="I6" s="976"/>
      <c r="J6" s="976"/>
      <c r="K6" s="976"/>
      <c r="L6" s="977"/>
      <c r="M6" s="931"/>
      <c r="N6" s="936"/>
    </row>
    <row r="7">
      <c r="B7" s="935"/>
      <c r="C7" s="931"/>
      <c r="D7" s="978"/>
      <c r="E7" s="979"/>
      <c r="F7" s="979"/>
      <c r="G7" s="979"/>
      <c r="H7" s="979"/>
      <c r="I7" s="979"/>
      <c r="J7" s="979"/>
      <c r="K7" s="979"/>
      <c r="L7" s="980"/>
      <c r="M7" s="931"/>
      <c r="N7" s="936"/>
    </row>
    <row r="8" ht="23.5">
      <c r="B8" s="935"/>
      <c r="C8" s="931"/>
      <c r="D8" s="941"/>
      <c r="E8" s="941"/>
      <c r="F8" s="941"/>
      <c r="G8" s="941"/>
      <c r="H8" s="941"/>
      <c r="I8" s="941"/>
      <c r="J8" s="941"/>
      <c r="K8" s="941"/>
      <c r="L8" s="941"/>
      <c r="M8" s="931"/>
      <c r="N8" s="936"/>
    </row>
    <row r="9" ht="23.5">
      <c r="B9" s="935"/>
      <c r="C9" s="931"/>
      <c r="D9" s="973" t="s">
        <v>2</v>
      </c>
      <c r="E9" s="973"/>
      <c r="F9" s="973"/>
      <c r="G9" s="973"/>
      <c r="H9" s="973"/>
      <c r="I9" s="973"/>
      <c r="J9" s="973"/>
      <c r="K9" s="973"/>
      <c r="L9" s="973"/>
      <c r="M9" s="931"/>
      <c r="N9" s="936"/>
    </row>
    <row r="10" ht="23.5" s="931" customFormat="1">
      <c r="B10" s="935"/>
      <c r="D10" s="942" t="s">
        <v>3</v>
      </c>
      <c r="E10" s="948"/>
      <c r="F10" s="948"/>
      <c r="G10" s="948"/>
      <c r="H10" s="948"/>
      <c r="I10" s="948"/>
      <c r="J10" s="948"/>
      <c r="K10" s="948"/>
      <c r="L10" s="948"/>
      <c r="N10" s="936"/>
    </row>
    <row r="11" ht="12" customHeight="1" s="931" customFormat="1">
      <c r="B11" s="935"/>
      <c r="D11" s="945"/>
      <c r="E11" s="948"/>
      <c r="F11" s="948"/>
      <c r="G11" s="948"/>
      <c r="H11" s="948"/>
      <c r="I11" s="948"/>
      <c r="J11" s="948"/>
      <c r="K11" s="948"/>
      <c r="L11" s="948"/>
      <c r="N11" s="936"/>
    </row>
    <row r="12" ht="23.5">
      <c r="B12" s="935"/>
      <c r="C12" s="931"/>
      <c r="D12" s="942" t="s">
        <v>4</v>
      </c>
      <c r="E12" s="941"/>
      <c r="F12" s="941"/>
      <c r="G12" s="941"/>
      <c r="H12" s="941"/>
      <c r="I12" s="941"/>
      <c r="J12" s="941"/>
      <c r="K12" s="941"/>
      <c r="L12" s="941"/>
      <c r="M12" s="931"/>
      <c r="N12" s="936"/>
    </row>
    <row r="13" ht="12" customHeight="1">
      <c r="B13" s="935"/>
      <c r="C13" s="931"/>
      <c r="D13" s="941"/>
      <c r="E13" s="943"/>
      <c r="F13" s="943"/>
      <c r="G13" s="943"/>
      <c r="H13" s="943"/>
      <c r="I13" s="943"/>
      <c r="J13" s="943"/>
      <c r="K13" s="943"/>
      <c r="L13" s="943"/>
      <c r="M13" s="931"/>
      <c r="N13" s="936"/>
    </row>
    <row r="14" ht="23.5">
      <c r="B14" s="935"/>
      <c r="C14" s="931"/>
      <c r="D14" s="942" t="s">
        <v>5</v>
      </c>
      <c r="E14" s="944"/>
      <c r="F14" s="944"/>
      <c r="G14" s="944"/>
      <c r="H14" s="944"/>
      <c r="I14" s="944"/>
      <c r="J14" s="944"/>
      <c r="K14" s="944"/>
      <c r="L14" s="944"/>
      <c r="M14" s="931"/>
      <c r="N14" s="936"/>
    </row>
    <row r="15" ht="12.75" customHeight="1">
      <c r="B15" s="935"/>
      <c r="C15" s="931"/>
      <c r="D15" s="945"/>
      <c r="E15" s="941"/>
      <c r="F15" s="941"/>
      <c r="G15" s="941"/>
      <c r="H15" s="941"/>
      <c r="I15" s="941"/>
      <c r="J15" s="941"/>
      <c r="K15" s="941"/>
      <c r="L15" s="941"/>
      <c r="M15" s="931"/>
      <c r="N15" s="936"/>
    </row>
    <row r="16" ht="23.5">
      <c r="B16" s="935"/>
      <c r="C16" s="931"/>
      <c r="D16" s="942" t="s">
        <v>6</v>
      </c>
      <c r="E16" s="931"/>
      <c r="F16" s="931"/>
      <c r="G16" s="931"/>
      <c r="H16" s="931"/>
      <c r="I16" s="931"/>
      <c r="J16" s="931"/>
      <c r="K16" s="931"/>
      <c r="L16" s="931"/>
      <c r="M16" s="931"/>
      <c r="N16" s="936"/>
    </row>
    <row r="17" s="931" customFormat="1">
      <c r="B17" s="935"/>
      <c r="N17" s="936"/>
    </row>
    <row r="18" ht="23.5">
      <c r="B18" s="935"/>
      <c r="C18" s="931"/>
      <c r="D18" s="942" t="s">
        <v>7</v>
      </c>
      <c r="E18" s="931"/>
      <c r="F18" s="931"/>
      <c r="G18" s="931"/>
      <c r="H18" s="931"/>
      <c r="I18" s="931"/>
      <c r="J18" s="931"/>
      <c r="K18" s="931"/>
      <c r="L18" s="931"/>
      <c r="M18" s="931"/>
      <c r="N18" s="936"/>
    </row>
    <row r="19" ht="15" customHeight="1">
      <c r="B19" s="935"/>
      <c r="C19" s="931"/>
      <c r="D19" s="942"/>
      <c r="E19" s="931"/>
      <c r="F19" s="931"/>
      <c r="G19" s="931"/>
      <c r="H19" s="931"/>
      <c r="I19" s="931"/>
      <c r="J19" s="931"/>
      <c r="K19" s="931"/>
      <c r="L19" s="931"/>
      <c r="M19" s="931"/>
      <c r="N19" s="936"/>
    </row>
    <row r="20" ht="23.5">
      <c r="B20" s="935"/>
      <c r="C20" s="931"/>
      <c r="D20" s="942" t="s">
        <v>8</v>
      </c>
      <c r="E20" s="931"/>
      <c r="F20" s="931"/>
      <c r="G20" s="931"/>
      <c r="H20" s="931"/>
      <c r="I20" s="931"/>
      <c r="J20" s="931"/>
      <c r="K20" s="931"/>
      <c r="L20" s="931"/>
      <c r="M20" s="931"/>
      <c r="N20" s="936"/>
    </row>
    <row r="21" s="931" customFormat="1">
      <c r="B21" s="935"/>
      <c r="N21" s="936"/>
    </row>
    <row r="22" ht="23.5">
      <c r="B22" s="935"/>
      <c r="C22" s="931"/>
      <c r="D22" s="942" t="s">
        <v>9</v>
      </c>
      <c r="E22" s="931"/>
      <c r="F22" s="931"/>
      <c r="G22" s="931"/>
      <c r="H22" s="931"/>
      <c r="I22" s="931"/>
      <c r="J22" s="931"/>
      <c r="K22" s="931"/>
      <c r="L22" s="931"/>
      <c r="M22" s="931"/>
      <c r="N22" s="936"/>
    </row>
    <row r="23">
      <c r="B23" s="935"/>
      <c r="C23" s="931"/>
      <c r="D23" s="928"/>
      <c r="E23" s="928"/>
      <c r="F23" s="928"/>
      <c r="G23" s="928"/>
      <c r="H23" s="928"/>
      <c r="I23" s="928"/>
      <c r="J23" s="928"/>
      <c r="K23" s="928"/>
      <c r="L23" s="928"/>
      <c r="M23" s="931"/>
      <c r="N23" s="936"/>
    </row>
    <row r="24" ht="23.5">
      <c r="B24" s="935"/>
      <c r="C24" s="931"/>
      <c r="D24" s="942" t="s">
        <v>10</v>
      </c>
      <c r="E24" s="929"/>
      <c r="F24" s="929"/>
      <c r="G24" s="929"/>
      <c r="H24" s="929"/>
      <c r="I24" s="929"/>
      <c r="J24" s="929"/>
      <c r="K24" s="929"/>
      <c r="L24" s="929"/>
      <c r="M24" s="931"/>
      <c r="N24" s="936"/>
    </row>
    <row r="25" ht="13.5">
      <c r="B25" s="937"/>
      <c r="C25" s="938"/>
      <c r="D25" s="949"/>
      <c r="E25" s="949"/>
      <c r="F25" s="949"/>
      <c r="G25" s="949"/>
      <c r="H25" s="949"/>
      <c r="I25" s="949"/>
      <c r="J25" s="949"/>
      <c r="K25" s="949"/>
      <c r="L25" s="949"/>
      <c r="M25" s="938"/>
      <c r="N25" s="939"/>
    </row>
    <row r="26">
      <c r="D26" s="929"/>
      <c r="E26" s="929"/>
      <c r="F26" s="929"/>
      <c r="G26" s="929"/>
      <c r="H26" s="929"/>
      <c r="I26" s="929"/>
      <c r="J26" s="929"/>
      <c r="K26" s="929"/>
      <c r="L26" s="929"/>
      <c r="M26" s="927"/>
    </row>
  </sheetData>
  <mergeCells>
    <mergeCell ref="D9:L9"/>
    <mergeCell ref="D3:L4"/>
    <mergeCell ref="D6:L7"/>
  </mergeCells>
  <hyperlinks>
    <hyperlink ref="D10" location="Summary!A1" display="Summary"/>
    <hyperlink ref="D12" location="'Daily Purchase Report'!A1" display="Daily Purchase Report"/>
    <hyperlink ref="D14" location="'Daily Sales Report'!A1" display="Summary"/>
    <hyperlink ref="D16" location="'Card Transactions'!A1" display="Card Transactions"/>
    <hyperlink ref="D18" location="'Cheque Transactions'!A1" display="Cheque Transactions"/>
    <hyperlink ref="D20" location="'Daily Stock Report'!A1" display="Daily Stock Report"/>
    <hyperlink ref="D22" location="Customers!A1" display="Customer Balance"/>
    <hyperlink ref="D24" location="Vendors!A1" display="Vendor Balance"/>
  </hyperlinks>
  <printOptions horizontalCentered="1"/>
  <pageMargins left="0.25" right="0.25" top="0.75" bottom="0.75" header="0.3" footer="0.3"/>
  <pageSetup scale="99" orientation="landscape"/>
  <headerFooter differentFirst="1" scaleWithDoc="0">
    <oddHeader>&amp;CTD Daily File Summary</oddHeader>
    <oddFooter>&amp;L&amp;D &amp;T&amp;RPage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P31"/>
  <sheetViews>
    <sheetView showGridLines="0" tabSelected="1" topLeftCell="A4" zoomScale="130" zoomScaleNormal="130" workbookViewId="0">
      <selection activeCell="D6" sqref="D6:J7"/>
    </sheetView>
  </sheetViews>
  <sheetFormatPr defaultColWidth="7.1796875" defaultRowHeight="13" x14ac:dyDescent="0.3"/>
  <cols>
    <col min="1" max="1" width="7.1796875" customWidth="1" style="931"/>
    <col min="2" max="2" width="7.1796875" customWidth="1" style="931"/>
    <col min="3" max="3" bestFit="1" width="8.453125" customWidth="1" style="931"/>
    <col min="4" max="4" bestFit="1" width="18.81640625" customWidth="1" style="931"/>
    <col min="5" max="5" width="19.54296875" customWidth="1" style="931"/>
    <col min="6" max="6" width="3.1796875" customWidth="1" style="931"/>
    <col min="7" max="7" bestFit="1" width="18.54296875" customWidth="1" style="931"/>
    <col min="8" max="8" width="7.1796875" customWidth="1" style="931"/>
    <col min="9" max="9" bestFit="1" width="12.7265625" customWidth="1" style="931"/>
    <col min="10" max="10" width="7.1796875" customWidth="1" style="931"/>
    <col min="11" max="11" width="3" customWidth="1" style="931"/>
    <col min="12" max="12" width="23.1796875" customWidth="1" style="931"/>
    <col min="13" max="13" width="11.7265625" customWidth="1" style="931"/>
    <col min="14" max="14" width="2.81640625" customWidth="1" style="931"/>
    <col min="15" max="15" width="19.81640625" customWidth="1" style="931"/>
    <col min="16" max="16" width="11.1796875" customWidth="1" style="931"/>
    <col min="17" max="16384" width="7.1796875" customWidth="1" style="931"/>
  </cols>
  <sheetData>
    <row r="3" ht="21" customHeight="1">
      <c r="D3" s="974" t="s">
        <v>11</v>
      </c>
      <c r="E3" s="974"/>
      <c r="F3" s="974"/>
      <c r="G3" s="974"/>
      <c r="H3" s="974"/>
      <c r="I3" s="974"/>
      <c r="J3" s="974"/>
    </row>
    <row r="4" ht="9" customHeight="1">
      <c r="D4" s="974"/>
      <c r="E4" s="974"/>
      <c r="F4" s="974"/>
      <c r="G4" s="974"/>
      <c r="H4" s="974"/>
      <c r="I4" s="974"/>
      <c r="J4" s="974"/>
    </row>
    <row r="5" ht="14.5">
      <c r="D5" s="984"/>
      <c r="E5" s="984"/>
    </row>
    <row r="6" ht="15" customHeight="1">
      <c r="D6" s="985" t="e">
        <f>'Table Of Contents'!$D$6:$L$6</f>
        <v>#VALUE!</v>
      </c>
      <c r="E6" s="985"/>
      <c r="F6" s="985"/>
      <c r="G6" s="985"/>
      <c r="H6" s="985"/>
      <c r="I6" s="985"/>
      <c r="J6" s="985"/>
    </row>
    <row r="7" ht="13.9" customHeight="1">
      <c r="D7" s="985"/>
      <c r="E7" s="985"/>
      <c r="F7" s="985"/>
      <c r="G7" s="985"/>
      <c r="H7" s="985"/>
      <c r="I7" s="985"/>
      <c r="J7" s="985"/>
    </row>
    <row r="8" ht="13.5"/>
    <row r="9" ht="15">
      <c r="D9" s="989" t="s">
        <v>12</v>
      </c>
      <c r="E9" s="998">
        <v>112794</v>
      </c>
      <c r="G9" s="972" t="s">
        <v>13</v>
      </c>
      <c r="H9" s="972" t="s">
        <v>14</v>
      </c>
      <c r="I9" s="972"/>
      <c r="J9" s="972"/>
      <c r="L9" s="972" t="s">
        <v>15</v>
      </c>
      <c r="M9" s="972" t="s">
        <v>16</v>
      </c>
      <c r="O9" s="972" t="s">
        <v>17</v>
      </c>
      <c r="P9" s="972" t="s">
        <v>18</v>
      </c>
    </row>
    <row r="10" ht="15" customHeight="1">
      <c r="C10" s="981" t="s">
        <v>18</v>
      </c>
      <c r="D10" s="988" t="s">
        <v>19</v>
      </c>
      <c r="E10" s="1000">
        <v>495</v>
      </c>
      <c r="G10" s="963">
        <v>1000</v>
      </c>
      <c r="H10" s="964">
        <v>0</v>
      </c>
      <c r="I10" s="965">
        <f>H10*G10</f>
        <v>0</v>
      </c>
      <c r="J10" s="966"/>
      <c r="L10" s="1003"/>
      <c r="M10" s="1003"/>
      <c r="O10" s="1003" t="s">
        <v>20</v>
      </c>
      <c r="P10" s="1004">
        <v>438.05</v>
      </c>
    </row>
    <row r="11" ht="15" customHeight="1">
      <c r="C11" s="982"/>
      <c r="D11" s="988" t="s">
        <v>21</v>
      </c>
      <c r="E11" s="999">
        <v>0</v>
      </c>
      <c r="G11" s="967">
        <v>500</v>
      </c>
      <c r="H11" s="968">
        <v>0</v>
      </c>
      <c r="I11" s="965">
        <f>H11*G11</f>
        <v>0</v>
      </c>
      <c r="J11" s="969"/>
      <c r="O11" s="991"/>
      <c r="P11" s="991"/>
    </row>
    <row r="12" ht="15" customHeight="1">
      <c r="C12" s="982"/>
      <c r="D12" s="988" t="s">
        <v>22</v>
      </c>
      <c r="E12" s="999">
        <v>0</v>
      </c>
      <c r="G12" s="967">
        <v>100</v>
      </c>
      <c r="H12" s="964">
        <v>0</v>
      </c>
      <c r="I12" s="965">
        <f>H12*G12</f>
        <v>0</v>
      </c>
      <c r="J12" s="969"/>
    </row>
    <row r="13" ht="13.9" customHeight="1">
      <c r="C13" s="982"/>
      <c r="D13" s="988" t="s">
        <v>23</v>
      </c>
      <c r="E13" s="999">
        <v>0</v>
      </c>
      <c r="G13" s="967">
        <v>50</v>
      </c>
      <c r="H13" s="964">
        <v>0</v>
      </c>
      <c r="I13" s="965">
        <f>H13*G13</f>
        <v>0</v>
      </c>
      <c r="J13" s="969"/>
    </row>
    <row r="14" ht="15" customHeight="1">
      <c r="C14" s="982"/>
      <c r="D14" s="988" t="s">
        <v>24</v>
      </c>
      <c r="E14" s="1000">
        <v>0</v>
      </c>
      <c r="G14" s="967">
        <v>20</v>
      </c>
      <c r="H14" s="964">
        <v>0</v>
      </c>
      <c r="I14" s="965">
        <f ref="I14:I17" t="shared" si="0">H14*G14</f>
        <v>0</v>
      </c>
      <c r="J14" s="969"/>
    </row>
    <row r="15" ht="15" customHeight="1">
      <c r="C15" s="982"/>
      <c r="D15" s="988" t="s">
        <v>25</v>
      </c>
      <c r="E15" s="1000">
        <v>0</v>
      </c>
      <c r="G15" s="970">
        <v>10</v>
      </c>
      <c r="H15" s="968">
        <v>0</v>
      </c>
      <c r="I15" s="965">
        <f t="shared" si="0"/>
        <v>0</v>
      </c>
      <c r="J15" s="969"/>
    </row>
    <row r="16" ht="15" customHeight="1">
      <c r="C16" s="982"/>
      <c r="D16" s="988" t="s">
        <v>26</v>
      </c>
      <c r="E16" s="999">
        <v>0</v>
      </c>
      <c r="G16" s="970">
        <v>5</v>
      </c>
      <c r="H16" s="968">
        <v>0</v>
      </c>
      <c r="I16" s="965">
        <f t="shared" si="0"/>
        <v>0</v>
      </c>
      <c r="J16" s="969"/>
    </row>
    <row r="17" ht="15" customHeight="1">
      <c r="C17" s="982" t="s">
        <v>23</v>
      </c>
      <c r="D17" s="988" t="s">
        <v>19</v>
      </c>
      <c r="E17" s="999">
        <v>0</v>
      </c>
      <c r="G17" s="970">
        <v>2</v>
      </c>
      <c r="H17" s="968">
        <v>0</v>
      </c>
      <c r="I17" s="965">
        <f t="shared" si="0"/>
        <v>0</v>
      </c>
      <c r="J17" s="969"/>
    </row>
    <row r="18" ht="14.5">
      <c r="C18" s="982"/>
      <c r="D18" s="988" t="s">
        <v>21</v>
      </c>
      <c r="E18" s="1000">
        <v>0</v>
      </c>
      <c r="G18" s="970">
        <v>1</v>
      </c>
      <c r="H18" s="968">
        <v>113289</v>
      </c>
      <c r="I18" s="965">
        <f>H18*G16</f>
        <v>566445</v>
      </c>
      <c r="J18" s="969"/>
    </row>
    <row r="19" ht="14.5">
      <c r="C19" s="982"/>
      <c r="D19" s="988" t="s">
        <v>22</v>
      </c>
      <c r="E19" s="999">
        <v>0</v>
      </c>
      <c r="G19" s="970"/>
      <c r="H19" s="968"/>
      <c r="I19" s="965">
        <f>H19*G17</f>
        <v>0</v>
      </c>
      <c r="J19" s="969"/>
    </row>
    <row r="20" ht="15">
      <c r="C20" s="982"/>
      <c r="D20" s="988" t="s">
        <v>24</v>
      </c>
      <c r="E20" s="999">
        <v>0</v>
      </c>
      <c r="G20" s="970"/>
      <c r="H20" s="971"/>
      <c r="I20" s="965">
        <f>H20*G18</f>
        <v>0</v>
      </c>
      <c r="J20" s="969"/>
    </row>
    <row r="21" ht="14.5">
      <c r="C21" s="982"/>
      <c r="D21" s="988" t="s">
        <v>25</v>
      </c>
      <c r="E21" s="1000">
        <v>0</v>
      </c>
      <c r="G21" s="972" t="s">
        <v>27</v>
      </c>
      <c r="H21" s="972"/>
      <c r="I21" s="972">
        <f>SUM(I10:I20)</f>
        <v>566445</v>
      </c>
      <c r="J21" s="972"/>
    </row>
    <row r="22" ht="16" customHeight="1">
      <c r="C22" s="982" t="s">
        <v>28</v>
      </c>
      <c r="D22" s="988" t="s">
        <v>19</v>
      </c>
      <c r="E22" s="1000">
        <v>0</v>
      </c>
    </row>
    <row r="23" ht="14.5">
      <c r="C23" s="982"/>
      <c r="D23" s="988" t="s">
        <v>21</v>
      </c>
      <c r="E23" s="1000">
        <v>0</v>
      </c>
    </row>
    <row r="24" ht="14.5" customHeight="1">
      <c r="C24" s="982"/>
      <c r="D24" s="988" t="s">
        <v>22</v>
      </c>
      <c r="E24" s="1000">
        <v>0</v>
      </c>
    </row>
    <row r="25" ht="14.5">
      <c r="C25" s="982"/>
      <c r="D25" s="988" t="s">
        <v>24</v>
      </c>
      <c r="E25" s="1000">
        <v>0</v>
      </c>
    </row>
    <row r="26" ht="15">
      <c r="C26" s="983"/>
      <c r="D26" s="988" t="s">
        <v>25</v>
      </c>
      <c r="E26" s="1001">
        <v>0</v>
      </c>
    </row>
    <row r="27" ht="14.5">
      <c r="D27" s="988" t="s">
        <v>29</v>
      </c>
      <c r="E27" s="1001">
        <v>495</v>
      </c>
    </row>
    <row r="28" ht="14.5">
      <c r="D28" s="988" t="s">
        <v>30</v>
      </c>
      <c r="E28" s="1001">
        <v>0</v>
      </c>
    </row>
    <row r="29" ht="14.5">
      <c r="D29" s="988" t="s">
        <v>31</v>
      </c>
      <c r="E29" s="1001">
        <v>113289</v>
      </c>
    </row>
    <row r="30" ht="14.5">
      <c r="D30" s="988" t="s">
        <v>32</v>
      </c>
      <c r="E30" s="1001">
        <v>0</v>
      </c>
    </row>
    <row r="31" ht="15">
      <c r="D31" s="990" t="s">
        <v>33</v>
      </c>
      <c r="E31" s="1002">
        <v>113289</v>
      </c>
    </row>
  </sheetData>
  <mergeCells>
    <mergeCell ref="C10:C16"/>
    <mergeCell ref="C17:C21"/>
    <mergeCell ref="C22:C26"/>
    <mergeCell ref="D5:E5"/>
    <mergeCell ref="D3:J4"/>
    <mergeCell ref="D6:J7"/>
  </mergeCells>
  <printOptions horizontalCentered="1"/>
  <pageMargins left="0.25" right="0.25" top="0.75" bottom="0.75" header="0.3" footer="0.3"/>
  <pageSetup scale="85" orientation="landscape"/>
  <headerFooter scaleWithDoc="0">
    <oddHeader>&amp;CTD Daily File Summary</oddHeader>
    <oddFooter>&amp;L&amp;D &amp;T&amp;RPage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P10"/>
  <sheetViews>
    <sheetView showGridLines="0" topLeftCell="B1" workbookViewId="0">
      <selection activeCell="B1" sqref="B1"/>
    </sheetView>
  </sheetViews>
  <sheetFormatPr defaultColWidth="9.26953125" defaultRowHeight="13" x14ac:dyDescent="0.3"/>
  <cols>
    <col min="1" max="1" width="3" customWidth="1" style="931"/>
    <col min="2" max="2" width="3.7265625" customWidth="1" style="931"/>
    <col min="3" max="3" width="16.1796875" customWidth="1" style="931"/>
    <col min="4" max="4" width="6.1796875" customWidth="1" style="931"/>
    <col min="5" max="5" width="12.81640625" customWidth="1" style="931"/>
    <col min="6" max="6" width="23.7265625" customWidth="1" style="931"/>
    <col min="7" max="7" width="15.7265625" customWidth="1" style="931"/>
    <col min="8" max="8" width="13" customWidth="1" style="931"/>
    <col min="9" max="9" width="9" customWidth="1" style="931"/>
    <col min="10" max="10" width="10.7265625" customWidth="1" style="931"/>
    <col min="11" max="11" width="11.26953125" customWidth="1" style="931"/>
    <col min="12" max="12" bestFit="1" width="11.81640625" customWidth="1" style="931"/>
    <col min="13" max="13" bestFit="1" width="10.7265625" customWidth="1" style="931"/>
    <col min="14" max="14" width="11.26953125" customWidth="1" style="931"/>
    <col min="15" max="15" bestFit="1" width="9.7265625" customWidth="1" style="931"/>
    <col min="16" max="16" bestFit="1" width="13.1796875" customWidth="1" style="931"/>
    <col min="17" max="17" width="9.26953125" customWidth="1" style="931"/>
    <col min="18" max="18" width="9.26953125" customWidth="1" style="931"/>
    <col min="19" max="19" width="9.26953125" customWidth="1" style="931"/>
    <col min="20" max="16384" width="9.26953125" customWidth="1" style="931"/>
  </cols>
  <sheetData>
    <row r="3" ht="21" customHeight="1">
      <c r="D3" s="974" t="s">
        <v>4</v>
      </c>
      <c r="E3" s="974"/>
      <c r="F3" s="974"/>
      <c r="G3" s="974"/>
      <c r="H3" s="974"/>
      <c r="I3" s="974"/>
      <c r="J3" s="974"/>
      <c r="K3" s="974"/>
      <c r="L3" s="974"/>
      <c r="M3" s="974"/>
      <c r="N3" s="974"/>
      <c r="O3" s="974"/>
      <c r="P3" s="974"/>
    </row>
    <row r="4" ht="9" customHeight="1">
      <c r="D4" s="974"/>
      <c r="E4" s="974"/>
      <c r="F4" s="974"/>
      <c r="G4" s="974"/>
      <c r="H4" s="974"/>
      <c r="I4" s="974"/>
      <c r="J4" s="974"/>
      <c r="K4" s="974"/>
      <c r="L4" s="974"/>
      <c r="M4" s="974"/>
      <c r="N4" s="974"/>
      <c r="O4" s="974"/>
      <c r="P4" s="974"/>
    </row>
    <row r="5" ht="14.5">
      <c r="D5" s="984"/>
      <c r="E5" s="984"/>
      <c r="F5" s="984"/>
      <c r="G5" s="984"/>
    </row>
    <row r="6" ht="15" customHeight="1">
      <c r="D6" s="985" t="e">
        <f>'Table Of Contents'!$D$6:$L$6</f>
        <v>#VALUE!</v>
      </c>
      <c r="E6" s="985"/>
      <c r="F6" s="985"/>
      <c r="G6" s="985"/>
      <c r="H6" s="985"/>
      <c r="I6" s="985"/>
      <c r="J6" s="985"/>
      <c r="K6" s="985"/>
      <c r="L6" s="985"/>
      <c r="M6" s="985"/>
      <c r="N6" s="985"/>
      <c r="O6" s="985"/>
      <c r="P6" s="985"/>
    </row>
    <row r="7" ht="13.9" customHeight="1">
      <c r="D7" s="985"/>
      <c r="E7" s="985"/>
      <c r="F7" s="985"/>
      <c r="G7" s="985"/>
      <c r="H7" s="985"/>
      <c r="I7" s="985"/>
      <c r="J7" s="985"/>
      <c r="K7" s="985"/>
      <c r="L7" s="985"/>
      <c r="M7" s="985"/>
      <c r="N7" s="985"/>
      <c r="O7" s="985"/>
      <c r="P7" s="985"/>
    </row>
    <row r="9">
      <c r="D9" s="940" t="s">
        <v>34</v>
      </c>
      <c r="E9" s="940" t="s">
        <v>35</v>
      </c>
      <c r="F9" s="940" t="s">
        <v>36</v>
      </c>
      <c r="G9" s="940" t="s">
        <v>37</v>
      </c>
      <c r="H9" s="940" t="s">
        <v>38</v>
      </c>
      <c r="I9" s="940" t="s">
        <v>39</v>
      </c>
      <c r="J9" s="940" t="s">
        <v>40</v>
      </c>
      <c r="K9" s="940" t="s">
        <v>41</v>
      </c>
      <c r="L9" s="940" t="s">
        <v>42</v>
      </c>
      <c r="M9" s="940" t="s">
        <v>43</v>
      </c>
      <c r="N9" s="940" t="s">
        <v>44</v>
      </c>
      <c r="O9" s="940" t="s">
        <v>45</v>
      </c>
      <c r="P9" s="940" t="s">
        <v>46</v>
      </c>
    </row>
    <row r="10"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</row>
  </sheetData>
  <mergeCells>
    <mergeCell ref="D3:P4"/>
    <mergeCell ref="D5:G5"/>
    <mergeCell ref="D6:P7"/>
  </mergeCells>
  <printOptions horizontalCentered="1"/>
  <pageMargins left="0.25" right="0.25" top="0.75" bottom="0.75" header="0.3" footer="0.3"/>
  <pageSetup scale="85" orientation="landscape"/>
  <headerFooter scaleWithDoc="0">
    <oddHeader>&amp;CTD Daily File Summary</oddHeader>
    <oddFooter>&amp;L&amp;D &amp;T&amp;RPage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2:X23"/>
  <sheetViews>
    <sheetView showGridLines="0" workbookViewId="0">
      <selection activeCell="D15" sqref="D15"/>
    </sheetView>
  </sheetViews>
  <sheetFormatPr defaultColWidth="9.26953125" defaultRowHeight="13" x14ac:dyDescent="0.3"/>
  <cols>
    <col min="1" max="1" width="3" customWidth="1" style="926"/>
    <col min="2" max="2" width="3.7265625" customWidth="1" style="926"/>
    <col min="3" max="3" width="16.54296875" customWidth="1" style="926"/>
    <col min="4" max="4" width="19.7265625" customWidth="1" style="926"/>
    <col min="5" max="5" width="8.26953125" customWidth="1" style="926"/>
    <col min="6" max="6" width="11.26953125" customWidth="1" style="926"/>
    <col min="7" max="7" width="11.26953125" customWidth="1" style="931"/>
    <col min="8" max="8" width="10.453125" customWidth="1" style="926"/>
    <col min="9" max="9" width="9.1796875" customWidth="1" style="926"/>
    <col min="10" max="10" width="9" customWidth="1" style="926"/>
    <col min="11" max="11" width="12.26953125" customWidth="1" style="926"/>
    <col min="12" max="12" width="11.26953125" customWidth="1" style="926"/>
    <col min="13" max="13" bestFit="1" width="11.81640625" customWidth="1" style="926"/>
    <col min="14" max="14" bestFit="1" width="10.81640625" customWidth="1" style="926"/>
    <col min="15" max="15" bestFit="1" width="8.453125" customWidth="1" style="926"/>
    <col min="16" max="16" bestFit="1" width="9.7265625" customWidth="1" style="926"/>
    <col min="17" max="17" bestFit="1" width="13.1796875" customWidth="1" style="926"/>
    <col min="18" max="18" width="22" customWidth="1" style="926"/>
    <col min="19" max="19" width="9.26953125" customWidth="1" style="926"/>
    <col min="20" max="20" bestFit="1" width="16.453125" customWidth="1" style="926"/>
    <col min="21" max="21" width="14" customWidth="1" style="926"/>
    <col min="22" max="22" width="9.26953125" customWidth="1" style="926"/>
    <col min="23" max="23" bestFit="1" width="19.1796875" customWidth="1" style="926"/>
    <col min="24" max="24" width="16.54296875" customWidth="1" style="926"/>
    <col min="25" max="16384" width="9.26953125" customWidth="1" style="926"/>
  </cols>
  <sheetData>
    <row r="2">
      <c r="B2" s="931"/>
      <c r="C2" s="931"/>
      <c r="D2" s="931"/>
      <c r="E2" s="931"/>
      <c r="F2" s="931"/>
      <c r="H2" s="931"/>
      <c r="I2" s="931"/>
      <c r="J2" s="931"/>
    </row>
    <row r="3" ht="21" customHeight="1">
      <c r="B3" s="931"/>
      <c r="C3" s="931"/>
      <c r="D3" s="974" t="s">
        <v>5</v>
      </c>
      <c r="E3" s="974"/>
      <c r="F3" s="974"/>
      <c r="G3" s="974"/>
      <c r="H3" s="974"/>
      <c r="I3" s="974"/>
      <c r="J3" s="974"/>
      <c r="K3" s="974"/>
      <c r="L3" s="974"/>
      <c r="M3" s="974"/>
      <c r="N3" s="974"/>
      <c r="O3" s="974"/>
      <c r="P3" s="974"/>
      <c r="Q3" s="974"/>
      <c r="R3" s="974"/>
      <c r="T3" s="931"/>
      <c r="U3" s="931"/>
    </row>
    <row r="4" ht="9" customHeight="1">
      <c r="B4" s="931"/>
      <c r="C4" s="931"/>
      <c r="D4" s="974"/>
      <c r="E4" s="974"/>
      <c r="F4" s="974"/>
      <c r="G4" s="974"/>
      <c r="H4" s="974"/>
      <c r="I4" s="974"/>
      <c r="J4" s="974"/>
      <c r="K4" s="974"/>
      <c r="L4" s="974"/>
      <c r="M4" s="974"/>
      <c r="N4" s="974"/>
      <c r="O4" s="974"/>
      <c r="P4" s="974"/>
      <c r="Q4" s="974"/>
      <c r="R4" s="974"/>
    </row>
    <row r="5" ht="14.5">
      <c r="B5" s="931"/>
      <c r="C5" s="931"/>
      <c r="D5" s="984"/>
      <c r="E5" s="984"/>
      <c r="F5" s="984"/>
      <c r="G5" s="984"/>
      <c r="H5" s="984"/>
      <c r="I5" s="931"/>
      <c r="J5" s="931"/>
    </row>
    <row r="6" ht="15" customHeight="1">
      <c r="B6" s="931"/>
      <c r="C6" s="931"/>
      <c r="D6" s="985" t="e">
        <f>'Table Of Contents'!$D$6:$L$6</f>
        <v>#VALUE!</v>
      </c>
      <c r="E6" s="985"/>
      <c r="F6" s="985"/>
      <c r="G6" s="985"/>
      <c r="H6" s="985"/>
      <c r="I6" s="985"/>
      <c r="J6" s="985"/>
      <c r="K6" s="985"/>
      <c r="L6" s="985"/>
      <c r="M6" s="985"/>
      <c r="N6" s="985"/>
      <c r="O6" s="985"/>
      <c r="P6" s="985"/>
      <c r="Q6" s="985"/>
      <c r="R6" s="985"/>
    </row>
    <row r="7" ht="13.9" customHeight="1">
      <c r="B7" s="931"/>
      <c r="C7" s="931"/>
      <c r="D7" s="985"/>
      <c r="E7" s="985"/>
      <c r="F7" s="985"/>
      <c r="G7" s="985"/>
      <c r="H7" s="985"/>
      <c r="I7" s="985"/>
      <c r="J7" s="985"/>
      <c r="K7" s="985"/>
      <c r="L7" s="985"/>
      <c r="M7" s="985"/>
      <c r="N7" s="985"/>
      <c r="O7" s="985"/>
      <c r="P7" s="985"/>
      <c r="Q7" s="985"/>
      <c r="R7" s="985"/>
      <c r="T7" s="931"/>
      <c r="U7" s="931"/>
      <c r="V7" s="931"/>
      <c r="W7" s="931"/>
      <c r="X7" s="931"/>
    </row>
    <row r="8">
      <c r="B8" s="931"/>
      <c r="C8" s="931"/>
      <c r="D8" s="931"/>
      <c r="E8" s="931"/>
      <c r="F8" s="931"/>
      <c r="H8" s="931"/>
      <c r="I8" s="931"/>
      <c r="J8" s="931"/>
      <c r="T8" s="931"/>
      <c r="U8" s="931"/>
      <c r="V8" s="931"/>
      <c r="W8" s="931"/>
      <c r="X8" s="931"/>
    </row>
    <row r="9">
      <c r="B9" s="931"/>
      <c r="C9" s="931"/>
      <c r="D9" s="940" t="s">
        <v>47</v>
      </c>
      <c r="E9" s="940" t="s">
        <v>48</v>
      </c>
      <c r="F9" s="940" t="s">
        <v>49</v>
      </c>
      <c r="G9" s="940" t="s">
        <v>50</v>
      </c>
      <c r="H9" s="940" t="s">
        <v>51</v>
      </c>
      <c r="I9" s="940" t="s">
        <v>52</v>
      </c>
      <c r="J9" s="940" t="s">
        <v>53</v>
      </c>
      <c r="K9" s="940" t="s">
        <v>54</v>
      </c>
      <c r="L9" s="940" t="s">
        <v>55</v>
      </c>
      <c r="M9" s="940" t="s">
        <v>56</v>
      </c>
      <c r="N9" s="940" t="s">
        <v>57</v>
      </c>
      <c r="O9" s="940" t="s">
        <v>58</v>
      </c>
      <c r="P9" s="940" t="s">
        <v>59</v>
      </c>
      <c r="Q9" s="940" t="s">
        <v>60</v>
      </c>
      <c r="R9" s="940" t="s">
        <v>61</v>
      </c>
    </row>
    <row r="10" ht="13.5">
      <c r="D10" s="991" t="s">
        <v>62</v>
      </c>
      <c r="E10" s="991" t="s">
        <v>63</v>
      </c>
      <c r="F10" s="994">
        <v>438.05</v>
      </c>
      <c r="G10" s="994">
        <v>0</v>
      </c>
      <c r="H10" s="994">
        <v>0</v>
      </c>
      <c r="I10" s="994">
        <v>56.95</v>
      </c>
      <c r="J10" s="994">
        <v>495</v>
      </c>
      <c r="K10" s="994">
        <v>495</v>
      </c>
      <c r="L10" s="994">
        <v>0</v>
      </c>
      <c r="M10" s="994">
        <v>495</v>
      </c>
      <c r="N10" s="994">
        <v>0</v>
      </c>
      <c r="O10" s="994">
        <v>0</v>
      </c>
      <c r="P10" s="994">
        <v>0</v>
      </c>
      <c r="Q10" s="991" t="s">
        <v>64</v>
      </c>
      <c r="R10" s="991" t="s">
        <v>65</v>
      </c>
    </row>
    <row r="11" ht="16">
      <c r="D11" s="993" t="s">
        <v>66</v>
      </c>
      <c r="E11" s="993"/>
      <c r="F11" s="995">
        <f>SUM(F10:F10)</f>
        <v>438.05</v>
      </c>
      <c r="G11" s="995">
        <f>SUM(G10:G10)</f>
        <v>0</v>
      </c>
      <c r="H11" s="995">
        <f>SUM(H10:H10)</f>
        <v>0</v>
      </c>
      <c r="I11" s="995">
        <f>SUM(I10:I10)</f>
        <v>56.95</v>
      </c>
      <c r="J11" s="995">
        <f>SUM(J10:J10)</f>
        <v>495</v>
      </c>
      <c r="K11" s="995">
        <f>SUM(K10:K10)</f>
        <v>495</v>
      </c>
      <c r="L11" s="995">
        <f>SUM(L10:L10)</f>
        <v>0</v>
      </c>
      <c r="M11" s="995">
        <f>SUM(M10:M10)</f>
        <v>495</v>
      </c>
      <c r="N11" s="995">
        <f>SUM(N10:N10)</f>
        <v>0</v>
      </c>
      <c r="O11" s="995">
        <f>SUM(O10:O10)</f>
        <v>0</v>
      </c>
      <c r="P11" s="995">
        <f>SUM(P10:P10)</f>
        <v>0</v>
      </c>
      <c r="Q11" s="993"/>
      <c r="R11" s="993"/>
      <c r="T11" s="986" t="s">
        <v>67</v>
      </c>
      <c r="U11" s="987"/>
      <c r="V11" s="950"/>
      <c r="W11" s="986" t="s">
        <v>68</v>
      </c>
      <c r="X11" s="987"/>
    </row>
    <row r="12" ht="14">
      <c r="T12" s="962" t="s">
        <v>69</v>
      </c>
      <c r="U12" s="996">
        <v>438.05</v>
      </c>
      <c r="V12" s="951"/>
      <c r="W12" s="962" t="s">
        <v>69</v>
      </c>
      <c r="X12" s="996">
        <v>0</v>
      </c>
    </row>
    <row r="13" ht="14">
      <c r="T13" s="958" t="s">
        <v>50</v>
      </c>
      <c r="U13" s="996">
        <v>0</v>
      </c>
      <c r="V13" s="951"/>
      <c r="W13" s="958" t="s">
        <v>50</v>
      </c>
      <c r="X13" s="996">
        <v>0</v>
      </c>
    </row>
    <row r="14" ht="14">
      <c r="T14" s="958" t="s">
        <v>70</v>
      </c>
      <c r="U14" s="997">
        <v>0</v>
      </c>
      <c r="V14" s="951"/>
      <c r="W14" s="958" t="s">
        <v>70</v>
      </c>
      <c r="X14" s="997">
        <v>0</v>
      </c>
    </row>
    <row r="15" ht="14.5">
      <c r="T15" s="958" t="s">
        <v>52</v>
      </c>
      <c r="U15" s="997">
        <v>56.95</v>
      </c>
      <c r="V15" s="951"/>
      <c r="W15" s="958" t="s">
        <v>52</v>
      </c>
      <c r="X15" s="997">
        <v>0</v>
      </c>
    </row>
    <row r="16" ht="15.75" customHeight="1">
      <c r="T16" s="959" t="s">
        <v>71</v>
      </c>
      <c r="U16" s="961">
        <f>U12-U13+U14+U15</f>
        <v>495</v>
      </c>
      <c r="V16" s="952"/>
      <c r="W16" s="959" t="s">
        <v>72</v>
      </c>
      <c r="X16" s="961">
        <f>X12-X13+X14+X15</f>
        <v>0</v>
      </c>
    </row>
    <row r="17" ht="14.5">
      <c r="T17" s="953"/>
      <c r="U17" s="953"/>
      <c r="V17" s="954"/>
      <c r="W17" s="955"/>
      <c r="X17" s="956"/>
    </row>
    <row r="18" ht="16">
      <c r="T18" s="986" t="s">
        <v>73</v>
      </c>
      <c r="U18" s="987"/>
      <c r="V18" s="950"/>
      <c r="W18" s="986" t="s">
        <v>74</v>
      </c>
      <c r="X18" s="987"/>
    </row>
    <row r="19" ht="14">
      <c r="T19" s="962" t="s">
        <v>69</v>
      </c>
      <c r="U19" s="996">
        <v>0</v>
      </c>
      <c r="V19" s="957"/>
      <c r="W19" s="962" t="s">
        <v>69</v>
      </c>
      <c r="X19" s="996">
        <v>438.05</v>
      </c>
    </row>
    <row r="20" ht="14">
      <c r="T20" s="958" t="s">
        <v>50</v>
      </c>
      <c r="U20" s="996">
        <v>0</v>
      </c>
      <c r="V20" s="951"/>
      <c r="W20" s="958" t="s">
        <v>50</v>
      </c>
      <c r="X20" s="996">
        <v>0</v>
      </c>
    </row>
    <row r="21" ht="12.75" customHeight="1">
      <c r="T21" s="958" t="s">
        <v>70</v>
      </c>
      <c r="U21" s="997">
        <v>0</v>
      </c>
      <c r="V21" s="951"/>
      <c r="W21" s="958" t="s">
        <v>70</v>
      </c>
      <c r="X21" s="997">
        <v>0</v>
      </c>
    </row>
    <row r="22" ht="14.5">
      <c r="T22" s="958" t="s">
        <v>52</v>
      </c>
      <c r="U22" s="997">
        <v>0</v>
      </c>
      <c r="V22" s="951"/>
      <c r="W22" s="958" t="s">
        <v>52</v>
      </c>
      <c r="X22" s="997">
        <v>56.95</v>
      </c>
    </row>
    <row r="23" ht="15">
      <c r="T23" s="959" t="s">
        <v>75</v>
      </c>
      <c r="U23" s="960">
        <f>U19-U20+U21+U22</f>
        <v>0</v>
      </c>
      <c r="V23" s="952"/>
      <c r="W23" s="959" t="s">
        <v>66</v>
      </c>
      <c r="X23" s="961">
        <f>X19+X20+X21+X22</f>
        <v>495</v>
      </c>
    </row>
  </sheetData>
  <mergeCells>
    <mergeCell ref="T18:U18"/>
    <mergeCell ref="W18:X18"/>
    <mergeCell ref="D5:H5"/>
    <mergeCell ref="D3:R4"/>
    <mergeCell ref="D6:R7"/>
    <mergeCell ref="T11:U11"/>
    <mergeCell ref="W11:X11"/>
  </mergeCells>
  <printOptions horizontalCentered="1"/>
  <pageMargins left="0.25" right="0.25" top="0.75" bottom="0.75" header="0.3" footer="0.3"/>
  <pageSetup scale="85" orientation="landscape"/>
  <headerFooter scaleWithDoc="0">
    <oddHeader>&amp;CTD Daily File Summary</oddHeader>
    <oddFooter>&amp;L&amp;D &amp;T&amp;RPage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L51"/>
  <sheetViews>
    <sheetView showGridLines="0" workbookViewId="0"/>
  </sheetViews>
  <sheetFormatPr defaultColWidth="9.26953125" defaultRowHeight="13" x14ac:dyDescent="0.3"/>
  <cols>
    <col min="1" max="1" width="3" customWidth="1" style="931"/>
    <col min="2" max="2" width="3.7265625" customWidth="1" style="931"/>
    <col min="3" max="3" width="20.7265625" customWidth="1" style="931"/>
    <col min="4" max="4" width="11.54296875" customWidth="1" style="931"/>
    <col min="5" max="5" width="14.54296875" customWidth="1" style="931"/>
    <col min="6" max="6" bestFit="1" width="10.54296875" customWidth="1" style="931"/>
    <col min="7" max="7" bestFit="1" width="9.1796875" customWidth="1" style="931"/>
    <col min="8" max="8" bestFit="1" width="19.1796875" customWidth="1" style="931"/>
    <col min="9" max="9" bestFit="1" width="8.7265625" customWidth="1" style="931"/>
    <col min="10" max="10" bestFit="1" width="11.26953125" customWidth="1" style="931"/>
    <col min="11" max="11" bestFit="1" width="11.26953125" customWidth="1" style="931"/>
    <col min="12" max="12" bestFit="1" width="7.453125" customWidth="1" style="931"/>
    <col min="13" max="13" bestFit="1" width="8.453125" customWidth="1" style="931"/>
    <col min="14" max="14" bestFit="1" width="9.7265625" customWidth="1" style="931"/>
    <col min="15" max="15" bestFit="1" width="13.1796875" customWidth="1" style="931"/>
    <col min="16" max="16384" width="9.26953125" customWidth="1" style="931"/>
  </cols>
  <sheetData>
    <row r="3" ht="21" customHeight="1">
      <c r="D3" s="974" t="s">
        <v>76</v>
      </c>
      <c r="E3" s="974"/>
      <c r="F3" s="974"/>
      <c r="G3" s="974"/>
      <c r="H3" s="974"/>
      <c r="I3" s="974"/>
      <c r="J3" s="974"/>
      <c r="K3" s="974"/>
      <c r="L3" s="974"/>
    </row>
    <row r="4" ht="9" customHeight="1">
      <c r="D4" s="974"/>
      <c r="E4" s="974"/>
      <c r="F4" s="974"/>
      <c r="G4" s="974"/>
      <c r="H4" s="974"/>
      <c r="I4" s="974"/>
      <c r="J4" s="974"/>
      <c r="K4" s="974"/>
      <c r="L4" s="974"/>
    </row>
    <row r="5" ht="14.5">
      <c r="D5" s="984"/>
      <c r="E5" s="984"/>
      <c r="F5" s="984"/>
      <c r="G5" s="984"/>
    </row>
    <row r="6" ht="15" customHeight="1">
      <c r="D6" s="985" t="e">
        <f>'Table Of Contents'!$D$6:$L$6</f>
        <v>#VALUE!</v>
      </c>
      <c r="E6" s="985"/>
      <c r="F6" s="985"/>
      <c r="G6" s="985"/>
      <c r="H6" s="985"/>
      <c r="I6" s="985"/>
      <c r="J6" s="985"/>
      <c r="K6" s="985"/>
      <c r="L6" s="985"/>
    </row>
    <row r="7" ht="13.9" customHeight="1">
      <c r="D7" s="985"/>
      <c r="E7" s="985"/>
      <c r="F7" s="985"/>
      <c r="G7" s="985"/>
      <c r="H7" s="985"/>
      <c r="I7" s="985"/>
      <c r="J7" s="985"/>
      <c r="K7" s="985"/>
      <c r="L7" s="985"/>
    </row>
    <row r="9">
      <c r="D9" s="940" t="s">
        <v>77</v>
      </c>
      <c r="E9" s="940" t="s">
        <v>47</v>
      </c>
      <c r="F9" s="940" t="s">
        <v>78</v>
      </c>
      <c r="G9" s="940" t="s">
        <v>79</v>
      </c>
      <c r="H9" s="940" t="s">
        <v>80</v>
      </c>
      <c r="I9" s="940" t="s">
        <v>81</v>
      </c>
      <c r="J9" s="940" t="s">
        <v>82</v>
      </c>
      <c r="K9" s="940" t="s">
        <v>83</v>
      </c>
      <c r="L9" s="940" t="s">
        <v>16</v>
      </c>
    </row>
    <row r="10">
      <c r="D10" s="992"/>
      <c r="E10" s="993"/>
      <c r="F10" s="993"/>
      <c r="G10" s="993"/>
      <c r="H10" s="993"/>
      <c r="I10" s="993"/>
      <c r="J10" s="993"/>
      <c r="K10" s="993"/>
      <c r="L10" s="993"/>
    </row>
    <row r="11">
      <c r="D11" s="946"/>
    </row>
    <row r="12">
      <c r="D12" s="946"/>
    </row>
    <row r="13">
      <c r="D13" s="946"/>
    </row>
    <row r="14">
      <c r="D14" s="946"/>
    </row>
    <row r="15">
      <c r="D15" s="946"/>
    </row>
    <row r="16">
      <c r="D16" s="946"/>
    </row>
    <row r="17">
      <c r="D17" s="946"/>
    </row>
    <row r="18">
      <c r="D18" s="946"/>
    </row>
    <row r="19">
      <c r="D19" s="946"/>
    </row>
    <row r="20">
      <c r="D20" s="946"/>
    </row>
    <row r="21">
      <c r="D21" s="946"/>
    </row>
    <row r="22">
      <c r="D22" s="946"/>
    </row>
    <row r="23">
      <c r="D23" s="946"/>
    </row>
    <row r="24">
      <c r="D24" s="946"/>
    </row>
    <row r="25">
      <c r="D25" s="946"/>
    </row>
    <row r="26">
      <c r="D26" s="946"/>
    </row>
    <row r="27">
      <c r="D27" s="946"/>
    </row>
    <row r="28">
      <c r="D28" s="946"/>
    </row>
    <row r="29">
      <c r="D29" s="946"/>
    </row>
    <row r="30">
      <c r="D30" s="946"/>
    </row>
    <row r="31">
      <c r="D31" s="946"/>
    </row>
    <row r="32">
      <c r="D32" s="946"/>
    </row>
    <row r="33">
      <c r="D33" s="946"/>
    </row>
    <row r="34">
      <c r="D34" s="946"/>
    </row>
    <row r="35">
      <c r="D35" s="946"/>
    </row>
    <row r="36">
      <c r="D36" s="946"/>
    </row>
    <row r="37">
      <c r="D37" s="946"/>
    </row>
    <row r="38">
      <c r="D38" s="946"/>
    </row>
    <row r="39">
      <c r="D39" s="946"/>
    </row>
    <row r="40">
      <c r="D40" s="946"/>
    </row>
    <row r="41">
      <c r="D41" s="946"/>
    </row>
    <row r="42">
      <c r="D42" s="946"/>
    </row>
    <row r="43">
      <c r="D43" s="946"/>
    </row>
    <row r="44">
      <c r="D44" s="946"/>
    </row>
    <row r="45">
      <c r="D45" s="946"/>
    </row>
    <row r="46">
      <c r="D46" s="946"/>
    </row>
    <row r="47">
      <c r="D47" s="946"/>
    </row>
    <row r="48">
      <c r="D48" s="946"/>
    </row>
    <row r="49">
      <c r="D49" s="946"/>
    </row>
    <row r="50">
      <c r="D50" s="946"/>
    </row>
    <row r="51">
      <c r="D51" s="946"/>
    </row>
  </sheetData>
  <mergeCells>
    <mergeCell ref="D3:L4"/>
    <mergeCell ref="D5:G5"/>
    <mergeCell ref="D6:L7"/>
  </mergeCells>
  <printOptions horizontalCentered="1"/>
  <pageMargins left="0.25" right="0.25" top="0.75" bottom="0.75" header="0.3" footer="0.3"/>
  <pageSetup scale="85" orientation="landscape"/>
  <headerFooter scaleWithDoc="0">
    <oddHeader>&amp;CTD Daily File Summary</oddHeader>
    <oddFooter>&amp;L&amp;D &amp;T&amp;RPage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L10"/>
  <sheetViews>
    <sheetView showGridLines="0" workbookViewId="0"/>
  </sheetViews>
  <sheetFormatPr defaultColWidth="9.26953125" defaultRowHeight="13" x14ac:dyDescent="0.3"/>
  <cols>
    <col min="1" max="1" width="3" customWidth="1" style="931"/>
    <col min="2" max="2" width="3.7265625" customWidth="1" style="931"/>
    <col min="3" max="3" width="15.54296875" customWidth="1" style="931"/>
    <col min="4" max="4" bestFit="1" width="9.453125" customWidth="1" style="946"/>
    <col min="5" max="5" bestFit="1" width="11.54296875" customWidth="1" style="931"/>
    <col min="6" max="6" bestFit="1" width="10.54296875" customWidth="1" style="931"/>
    <col min="7" max="7" bestFit="1" width="9.1796875" customWidth="1" style="931"/>
    <col min="8" max="8" bestFit="1" width="19.1796875" customWidth="1" style="931"/>
    <col min="9" max="9" bestFit="1" width="8.7265625" customWidth="1" style="931"/>
    <col min="10" max="10" bestFit="1" width="11.26953125" customWidth="1" style="931"/>
    <col min="11" max="11" bestFit="1" width="11.26953125" customWidth="1" style="931"/>
    <col min="12" max="12" bestFit="1" width="7.453125" customWidth="1" style="931"/>
    <col min="13" max="13" bestFit="1" width="8.453125" customWidth="1" style="931"/>
    <col min="14" max="14" bestFit="1" width="9.7265625" customWidth="1" style="931"/>
    <col min="15" max="15" bestFit="1" width="13.1796875" customWidth="1" style="931"/>
    <col min="16" max="16384" width="9.26953125" customWidth="1" style="931"/>
  </cols>
  <sheetData>
    <row r="3" ht="21" customHeight="1">
      <c r="D3" s="974" t="s">
        <v>84</v>
      </c>
      <c r="E3" s="974"/>
      <c r="F3" s="974"/>
      <c r="G3" s="974"/>
      <c r="H3" s="974"/>
      <c r="I3" s="974"/>
      <c r="J3" s="974"/>
      <c r="K3" s="974"/>
      <c r="L3" s="974"/>
    </row>
    <row r="4" ht="9" customHeight="1">
      <c r="D4" s="974"/>
      <c r="E4" s="974"/>
      <c r="F4" s="974"/>
      <c r="G4" s="974"/>
      <c r="H4" s="974"/>
      <c r="I4" s="974"/>
      <c r="J4" s="974"/>
      <c r="K4" s="974"/>
      <c r="L4" s="974"/>
    </row>
    <row r="5" ht="14.5">
      <c r="D5" s="984"/>
      <c r="E5" s="984"/>
      <c r="F5" s="984"/>
      <c r="G5" s="984"/>
    </row>
    <row r="6" ht="15" customHeight="1">
      <c r="D6" s="985" t="e">
        <f>'Table Of Contents'!$D$6:$L$6</f>
        <v>#VALUE!</v>
      </c>
      <c r="E6" s="985"/>
      <c r="F6" s="985"/>
      <c r="G6" s="985"/>
      <c r="H6" s="985"/>
      <c r="I6" s="985"/>
      <c r="J6" s="985"/>
      <c r="K6" s="985"/>
      <c r="L6" s="985"/>
    </row>
    <row r="7" ht="13.9" customHeight="1">
      <c r="D7" s="985"/>
      <c r="E7" s="985"/>
      <c r="F7" s="985"/>
      <c r="G7" s="985"/>
      <c r="H7" s="985"/>
      <c r="I7" s="985"/>
      <c r="J7" s="985"/>
      <c r="K7" s="985"/>
      <c r="L7" s="985"/>
    </row>
    <row r="9">
      <c r="D9" s="947" t="s">
        <v>77</v>
      </c>
      <c r="E9" s="940" t="s">
        <v>47</v>
      </c>
      <c r="F9" s="940" t="s">
        <v>78</v>
      </c>
      <c r="G9" s="940" t="s">
        <v>79</v>
      </c>
      <c r="H9" s="940" t="s">
        <v>80</v>
      </c>
      <c r="I9" s="940" t="s">
        <v>81</v>
      </c>
      <c r="J9" s="940" t="s">
        <v>82</v>
      </c>
      <c r="K9" s="940" t="s">
        <v>83</v>
      </c>
      <c r="L9" s="940" t="s">
        <v>16</v>
      </c>
    </row>
    <row r="10">
      <c r="D10" s="992"/>
      <c r="E10" s="993"/>
      <c r="F10" s="993"/>
      <c r="G10" s="993"/>
      <c r="H10" s="993"/>
      <c r="I10" s="993"/>
      <c r="J10" s="993"/>
      <c r="K10" s="993"/>
      <c r="L10" s="991"/>
    </row>
  </sheetData>
  <mergeCells>
    <mergeCell ref="D3:L4"/>
    <mergeCell ref="D5:G5"/>
    <mergeCell ref="D6:L7"/>
  </mergeCells>
  <printOptions horizontalCentered="1"/>
  <pageMargins left="0.25" right="0.25" top="0.75" bottom="0.75" header="0.3" footer="0.3"/>
  <pageSetup scale="85" orientation="landscape"/>
  <headerFooter scaleWithDoc="0">
    <oddHeader>&amp;CTD Daily File Summary</oddHeader>
    <oddFooter>&amp;L&amp;D &amp;T&amp;RPage 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H10"/>
  <sheetViews>
    <sheetView showGridLines="0" workbookViewId="0"/>
  </sheetViews>
  <sheetFormatPr defaultColWidth="9.26953125" defaultRowHeight="13" x14ac:dyDescent="0.3"/>
  <cols>
    <col min="1" max="1" width="3" customWidth="1" style="931"/>
    <col min="2" max="2" width="3.7265625" customWidth="1" style="931"/>
    <col min="3" max="3" width="17.453125" customWidth="1" style="931"/>
    <col min="4" max="4" width="13.81640625" customWidth="1" style="946"/>
    <col min="5" max="5" width="20.7265625" customWidth="1" style="931"/>
    <col min="6" max="6" width="16" customWidth="1" style="931"/>
    <col min="7" max="7" width="21.54296875" customWidth="1" style="931"/>
    <col min="8" max="8" bestFit="1" width="19.1796875" customWidth="1" style="931"/>
    <col min="9" max="9" bestFit="1" width="8.453125" customWidth="1" style="931"/>
    <col min="10" max="10" bestFit="1" width="9.7265625" customWidth="1" style="931"/>
    <col min="11" max="11" bestFit="1" width="13.1796875" customWidth="1" style="931"/>
    <col min="12" max="16384" width="9.26953125" customWidth="1" style="931"/>
  </cols>
  <sheetData>
    <row r="3" ht="21" customHeight="1">
      <c r="D3" s="974" t="s">
        <v>84</v>
      </c>
      <c r="E3" s="974"/>
      <c r="F3" s="974"/>
      <c r="G3" s="974"/>
      <c r="H3" s="974"/>
    </row>
    <row r="4" ht="9" customHeight="1">
      <c r="D4" s="974"/>
      <c r="E4" s="974"/>
      <c r="F4" s="974"/>
      <c r="G4" s="974"/>
      <c r="H4" s="974"/>
    </row>
    <row r="5" ht="14.5">
      <c r="D5" s="984"/>
      <c r="E5" s="984"/>
      <c r="F5" s="984"/>
      <c r="G5" s="984"/>
    </row>
    <row r="6" ht="15" customHeight="1">
      <c r="D6" s="985" t="e">
        <f>'Table Of Contents'!$D$6:$L$6</f>
        <v>#VALUE!</v>
      </c>
      <c r="E6" s="985"/>
      <c r="F6" s="985"/>
      <c r="G6" s="985"/>
      <c r="H6" s="985"/>
    </row>
    <row r="7" ht="13.9" customHeight="1">
      <c r="D7" s="985"/>
      <c r="E7" s="985"/>
      <c r="F7" s="985"/>
      <c r="G7" s="985"/>
      <c r="H7" s="985"/>
    </row>
    <row r="9">
      <c r="D9" s="947" t="s">
        <v>46</v>
      </c>
      <c r="E9" s="940" t="s">
        <v>61</v>
      </c>
      <c r="F9" s="940" t="s">
        <v>60</v>
      </c>
      <c r="G9" s="940" t="s">
        <v>16</v>
      </c>
      <c r="H9" s="940" t="s">
        <v>85</v>
      </c>
    </row>
    <row r="10">
      <c r="D10" s="992"/>
      <c r="E10" s="993"/>
      <c r="F10" s="993"/>
      <c r="G10" s="993"/>
      <c r="H10" s="993"/>
    </row>
  </sheetData>
  <mergeCells>
    <mergeCell ref="D3:H4"/>
    <mergeCell ref="D5:G5"/>
    <mergeCell ref="D6:H7"/>
  </mergeCells>
  <printOptions horizontalCentered="1"/>
  <pageMargins left="0.25" right="0.25" top="0.75" bottom="0.75" header="0.3" footer="0.3"/>
  <pageSetup scale="85" orientation="landscape"/>
  <headerFooter scaleWithDoc="0">
    <oddHeader>&amp;CTD Daily File Summary</oddHeader>
    <oddFooter>&amp;L&amp;D &amp;T&amp;RPage 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I289"/>
  <sheetViews>
    <sheetView showGridLines="0" workbookViewId="0"/>
  </sheetViews>
  <sheetFormatPr defaultColWidth="7.1796875" defaultRowHeight="13" x14ac:dyDescent="0.3"/>
  <cols>
    <col min="1" max="1" width="7.1796875" customWidth="1" style="931"/>
    <col min="2" max="2" width="7.1796875" customWidth="1" style="931"/>
    <col min="3" max="3" width="7.1796875" customWidth="1" style="931"/>
    <col min="4" max="4" bestFit="1" width="16" customWidth="1" style="931"/>
    <col min="5" max="5" width="17.81640625" customWidth="1" style="931"/>
    <col min="6" max="6" width="13.453125" customWidth="1" style="931"/>
    <col min="7" max="7" width="13.7265625" customWidth="1" style="931"/>
    <col min="8" max="8" width="15.26953125" customWidth="1" style="931"/>
    <col min="9" max="9" width="7.81640625" customWidth="1" style="931"/>
    <col min="10" max="10" width="7.1796875" customWidth="1" style="931"/>
    <col min="11" max="11" width="7.1796875" customWidth="1" style="931"/>
    <col min="12" max="12" width="7.1796875" customWidth="1" style="931"/>
    <col min="13" max="16384" width="7.1796875" customWidth="1" style="931"/>
  </cols>
  <sheetData>
    <row r="3" ht="21" customHeight="1">
      <c r="D3" s="974" t="s">
        <v>8</v>
      </c>
      <c r="E3" s="974"/>
      <c r="F3" s="974"/>
      <c r="G3" s="974"/>
      <c r="H3" s="974"/>
      <c r="I3" s="974"/>
    </row>
    <row r="4" ht="9" customHeight="1">
      <c r="D4" s="974"/>
      <c r="E4" s="974"/>
      <c r="F4" s="974"/>
      <c r="G4" s="974"/>
      <c r="H4" s="974"/>
      <c r="I4" s="974"/>
    </row>
    <row r="5" ht="14.5">
      <c r="D5" s="984"/>
      <c r="E5" s="984"/>
      <c r="F5" s="984"/>
      <c r="G5" s="984"/>
    </row>
    <row r="6" ht="15" customHeight="1">
      <c r="D6" s="985" t="e">
        <f>'Table Of Contents'!$D$6:$L$6</f>
        <v>#VALUE!</v>
      </c>
      <c r="E6" s="985"/>
      <c r="F6" s="985"/>
      <c r="G6" s="985"/>
      <c r="H6" s="985"/>
      <c r="I6" s="985"/>
    </row>
    <row r="7" ht="13.9" customHeight="1">
      <c r="D7" s="985"/>
      <c r="E7" s="985"/>
      <c r="F7" s="985"/>
      <c r="G7" s="985"/>
      <c r="H7" s="985"/>
      <c r="I7" s="985"/>
    </row>
    <row r="9">
      <c r="D9" s="940" t="s">
        <v>86</v>
      </c>
      <c r="E9" s="940" t="s">
        <v>12</v>
      </c>
      <c r="F9" s="940" t="s">
        <v>87</v>
      </c>
      <c r="G9" s="940" t="s">
        <v>88</v>
      </c>
      <c r="H9" s="940" t="s">
        <v>33</v>
      </c>
      <c r="I9" s="940" t="s">
        <v>40</v>
      </c>
    </row>
    <row r="10">
      <c r="D10" s="991" t="s">
        <v>89</v>
      </c>
      <c r="E10" s="991">
        <v>0</v>
      </c>
      <c r="F10" s="991">
        <v>0</v>
      </c>
      <c r="G10" s="991">
        <v>0</v>
      </c>
      <c r="H10" s="991">
        <v>0</v>
      </c>
      <c r="I10" s="991" t="s">
        <v>90</v>
      </c>
    </row>
    <row r="11">
      <c r="D11" s="991" t="s">
        <v>91</v>
      </c>
      <c r="E11" s="991">
        <v>0</v>
      </c>
      <c r="F11" s="991">
        <v>0</v>
      </c>
      <c r="G11" s="991">
        <v>0</v>
      </c>
      <c r="H11" s="991">
        <v>0</v>
      </c>
      <c r="I11" s="991" t="s">
        <v>92</v>
      </c>
    </row>
    <row r="12">
      <c r="D12" s="991" t="s">
        <v>93</v>
      </c>
      <c r="E12" s="991">
        <v>0</v>
      </c>
      <c r="F12" s="991">
        <v>0</v>
      </c>
      <c r="G12" s="991">
        <v>0</v>
      </c>
      <c r="H12" s="991">
        <v>0</v>
      </c>
      <c r="I12" s="991" t="s">
        <v>92</v>
      </c>
    </row>
    <row r="13">
      <c r="D13" s="991" t="s">
        <v>94</v>
      </c>
      <c r="E13" s="991">
        <v>0</v>
      </c>
      <c r="F13" s="991">
        <v>0</v>
      </c>
      <c r="G13" s="991">
        <v>0</v>
      </c>
      <c r="H13" s="991">
        <v>0</v>
      </c>
      <c r="I13" s="991" t="s">
        <v>92</v>
      </c>
    </row>
    <row r="14">
      <c r="D14" s="991" t="s">
        <v>95</v>
      </c>
      <c r="E14" s="991">
        <v>0</v>
      </c>
      <c r="F14" s="991">
        <v>0</v>
      </c>
      <c r="G14" s="991">
        <v>0</v>
      </c>
      <c r="H14" s="991">
        <v>0</v>
      </c>
      <c r="I14" s="991" t="s">
        <v>90</v>
      </c>
    </row>
    <row r="15">
      <c r="D15" s="991" t="s">
        <v>96</v>
      </c>
      <c r="E15" s="991">
        <v>0</v>
      </c>
      <c r="F15" s="991">
        <v>0</v>
      </c>
      <c r="G15" s="991">
        <v>0</v>
      </c>
      <c r="H15" s="991">
        <v>0</v>
      </c>
      <c r="I15" s="991" t="s">
        <v>90</v>
      </c>
    </row>
    <row r="16">
      <c r="D16" s="991" t="s">
        <v>97</v>
      </c>
      <c r="E16" s="991">
        <v>0</v>
      </c>
      <c r="F16" s="991">
        <v>0</v>
      </c>
      <c r="G16" s="991">
        <v>0</v>
      </c>
      <c r="H16" s="991">
        <v>0</v>
      </c>
      <c r="I16" s="991" t="s">
        <v>92</v>
      </c>
    </row>
    <row r="17">
      <c r="D17" s="991" t="s">
        <v>98</v>
      </c>
      <c r="E17" s="991">
        <v>0</v>
      </c>
      <c r="F17" s="991">
        <v>0</v>
      </c>
      <c r="G17" s="991">
        <v>0</v>
      </c>
      <c r="H17" s="991">
        <v>0</v>
      </c>
      <c r="I17" s="991" t="s">
        <v>90</v>
      </c>
    </row>
    <row r="18">
      <c r="D18" s="991" t="s">
        <v>99</v>
      </c>
      <c r="E18" s="991">
        <v>0</v>
      </c>
      <c r="F18" s="991">
        <v>0</v>
      </c>
      <c r="G18" s="991">
        <v>0</v>
      </c>
      <c r="H18" s="991">
        <v>0</v>
      </c>
      <c r="I18" s="991" t="s">
        <v>90</v>
      </c>
    </row>
    <row r="19">
      <c r="D19" s="991" t="s">
        <v>100</v>
      </c>
      <c r="E19" s="991">
        <v>0</v>
      </c>
      <c r="F19" s="991">
        <v>0</v>
      </c>
      <c r="G19" s="991">
        <v>0</v>
      </c>
      <c r="H19" s="991">
        <v>0</v>
      </c>
      <c r="I19" s="991" t="s">
        <v>90</v>
      </c>
    </row>
    <row r="20">
      <c r="D20" s="991" t="s">
        <v>101</v>
      </c>
      <c r="E20" s="991">
        <v>0</v>
      </c>
      <c r="F20" s="991">
        <v>0</v>
      </c>
      <c r="G20" s="991">
        <v>0</v>
      </c>
      <c r="H20" s="991">
        <v>0</v>
      </c>
      <c r="I20" s="991" t="s">
        <v>90</v>
      </c>
    </row>
    <row r="21">
      <c r="D21" s="991" t="s">
        <v>102</v>
      </c>
      <c r="E21" s="991">
        <v>0</v>
      </c>
      <c r="F21" s="991">
        <v>0</v>
      </c>
      <c r="G21" s="991">
        <v>0</v>
      </c>
      <c r="H21" s="991">
        <v>0</v>
      </c>
      <c r="I21" s="991" t="s">
        <v>90</v>
      </c>
    </row>
    <row r="22">
      <c r="D22" s="991" t="s">
        <v>103</v>
      </c>
      <c r="E22" s="991">
        <v>0</v>
      </c>
      <c r="F22" s="991">
        <v>0</v>
      </c>
      <c r="G22" s="991">
        <v>0</v>
      </c>
      <c r="H22" s="991">
        <v>0</v>
      </c>
      <c r="I22" s="991" t="s">
        <v>90</v>
      </c>
    </row>
    <row r="23">
      <c r="D23" s="991" t="s">
        <v>104</v>
      </c>
      <c r="E23" s="991">
        <v>0</v>
      </c>
      <c r="F23" s="991">
        <v>0</v>
      </c>
      <c r="G23" s="991">
        <v>0</v>
      </c>
      <c r="H23" s="991">
        <v>0</v>
      </c>
      <c r="I23" s="991" t="s">
        <v>92</v>
      </c>
    </row>
    <row r="24">
      <c r="D24" s="991" t="s">
        <v>105</v>
      </c>
      <c r="E24" s="991">
        <v>0</v>
      </c>
      <c r="F24" s="991">
        <v>0</v>
      </c>
      <c r="G24" s="991">
        <v>0</v>
      </c>
      <c r="H24" s="991">
        <v>0</v>
      </c>
      <c r="I24" s="991" t="s">
        <v>92</v>
      </c>
    </row>
    <row r="25">
      <c r="D25" s="991" t="s">
        <v>106</v>
      </c>
      <c r="E25" s="991">
        <v>0</v>
      </c>
      <c r="F25" s="991">
        <v>0</v>
      </c>
      <c r="G25" s="991">
        <v>0</v>
      </c>
      <c r="H25" s="991">
        <v>0</v>
      </c>
      <c r="I25" s="991" t="s">
        <v>90</v>
      </c>
    </row>
    <row r="26">
      <c r="D26" s="991" t="s">
        <v>107</v>
      </c>
      <c r="E26" s="991">
        <v>0</v>
      </c>
      <c r="F26" s="991">
        <v>0</v>
      </c>
      <c r="G26" s="991">
        <v>0</v>
      </c>
      <c r="H26" s="991">
        <v>0</v>
      </c>
      <c r="I26" s="991" t="s">
        <v>90</v>
      </c>
    </row>
    <row r="27">
      <c r="D27" s="991" t="s">
        <v>108</v>
      </c>
      <c r="E27" s="991">
        <v>0</v>
      </c>
      <c r="F27" s="991">
        <v>0</v>
      </c>
      <c r="G27" s="991">
        <v>0</v>
      </c>
      <c r="H27" s="991">
        <v>0</v>
      </c>
      <c r="I27" s="991" t="s">
        <v>90</v>
      </c>
    </row>
    <row r="28">
      <c r="D28" s="991" t="s">
        <v>109</v>
      </c>
      <c r="E28" s="991">
        <v>0</v>
      </c>
      <c r="F28" s="991">
        <v>0</v>
      </c>
      <c r="G28" s="991">
        <v>0</v>
      </c>
      <c r="H28" s="991">
        <v>0</v>
      </c>
      <c r="I28" s="991" t="s">
        <v>90</v>
      </c>
    </row>
    <row r="29">
      <c r="D29" s="991" t="s">
        <v>110</v>
      </c>
      <c r="E29" s="991">
        <v>0</v>
      </c>
      <c r="F29" s="991">
        <v>0</v>
      </c>
      <c r="G29" s="991">
        <v>0</v>
      </c>
      <c r="H29" s="991">
        <v>0</v>
      </c>
      <c r="I29" s="991" t="s">
        <v>92</v>
      </c>
    </row>
    <row r="30">
      <c r="D30" s="991" t="s">
        <v>111</v>
      </c>
      <c r="E30" s="991">
        <v>0</v>
      </c>
      <c r="F30" s="991">
        <v>0</v>
      </c>
      <c r="G30" s="991">
        <v>0</v>
      </c>
      <c r="H30" s="991">
        <v>0</v>
      </c>
      <c r="I30" s="991" t="s">
        <v>92</v>
      </c>
    </row>
    <row r="31">
      <c r="D31" s="991" t="s">
        <v>112</v>
      </c>
      <c r="E31" s="991">
        <v>0</v>
      </c>
      <c r="F31" s="991">
        <v>0</v>
      </c>
      <c r="G31" s="991">
        <v>0</v>
      </c>
      <c r="H31" s="991">
        <v>0</v>
      </c>
      <c r="I31" s="991" t="s">
        <v>92</v>
      </c>
    </row>
    <row r="32">
      <c r="D32" s="991" t="s">
        <v>113</v>
      </c>
      <c r="E32" s="991">
        <v>0</v>
      </c>
      <c r="F32" s="991">
        <v>0</v>
      </c>
      <c r="G32" s="991">
        <v>0</v>
      </c>
      <c r="H32" s="991">
        <v>0</v>
      </c>
      <c r="I32" s="991" t="s">
        <v>92</v>
      </c>
    </row>
    <row r="33">
      <c r="D33" s="991" t="s">
        <v>114</v>
      </c>
      <c r="E33" s="991">
        <v>0</v>
      </c>
      <c r="F33" s="991">
        <v>0</v>
      </c>
      <c r="G33" s="991">
        <v>0</v>
      </c>
      <c r="H33" s="991">
        <v>0</v>
      </c>
      <c r="I33" s="991" t="s">
        <v>92</v>
      </c>
    </row>
    <row r="34">
      <c r="D34" s="991" t="s">
        <v>115</v>
      </c>
      <c r="E34" s="991">
        <v>0</v>
      </c>
      <c r="F34" s="991">
        <v>0</v>
      </c>
      <c r="G34" s="991">
        <v>0</v>
      </c>
      <c r="H34" s="991">
        <v>0</v>
      </c>
      <c r="I34" s="991" t="s">
        <v>92</v>
      </c>
    </row>
    <row r="35">
      <c r="D35" s="991" t="s">
        <v>116</v>
      </c>
      <c r="E35" s="991">
        <v>0</v>
      </c>
      <c r="F35" s="991">
        <v>0</v>
      </c>
      <c r="G35" s="991">
        <v>0</v>
      </c>
      <c r="H35" s="991">
        <v>0</v>
      </c>
      <c r="I35" s="991" t="s">
        <v>92</v>
      </c>
    </row>
    <row r="36">
      <c r="D36" s="991" t="s">
        <v>117</v>
      </c>
      <c r="E36" s="991">
        <v>0</v>
      </c>
      <c r="F36" s="991">
        <v>0</v>
      </c>
      <c r="G36" s="991">
        <v>0</v>
      </c>
      <c r="H36" s="991">
        <v>0</v>
      </c>
      <c r="I36" s="991" t="s">
        <v>90</v>
      </c>
    </row>
    <row r="37">
      <c r="D37" s="991" t="s">
        <v>118</v>
      </c>
      <c r="E37" s="991">
        <v>0</v>
      </c>
      <c r="F37" s="991">
        <v>0</v>
      </c>
      <c r="G37" s="991">
        <v>0</v>
      </c>
      <c r="H37" s="991">
        <v>0</v>
      </c>
      <c r="I37" s="991" t="s">
        <v>90</v>
      </c>
    </row>
    <row r="38">
      <c r="D38" s="991" t="s">
        <v>119</v>
      </c>
      <c r="E38" s="991">
        <v>0</v>
      </c>
      <c r="F38" s="991">
        <v>0</v>
      </c>
      <c r="G38" s="991">
        <v>0</v>
      </c>
      <c r="H38" s="991">
        <v>0</v>
      </c>
      <c r="I38" s="991" t="s">
        <v>90</v>
      </c>
    </row>
    <row r="39">
      <c r="D39" s="991" t="s">
        <v>120</v>
      </c>
      <c r="E39" s="991">
        <v>0</v>
      </c>
      <c r="F39" s="991">
        <v>0</v>
      </c>
      <c r="G39" s="991">
        <v>0</v>
      </c>
      <c r="H39" s="991">
        <v>0</v>
      </c>
      <c r="I39" s="991" t="s">
        <v>90</v>
      </c>
    </row>
    <row r="40">
      <c r="D40" s="991" t="s">
        <v>121</v>
      </c>
      <c r="E40" s="991">
        <v>0</v>
      </c>
      <c r="F40" s="991">
        <v>0</v>
      </c>
      <c r="G40" s="991">
        <v>0</v>
      </c>
      <c r="H40" s="991">
        <v>0</v>
      </c>
      <c r="I40" s="991" t="s">
        <v>92</v>
      </c>
    </row>
    <row r="41">
      <c r="D41" s="991" t="s">
        <v>122</v>
      </c>
      <c r="E41" s="991">
        <v>0</v>
      </c>
      <c r="F41" s="991">
        <v>0</v>
      </c>
      <c r="G41" s="991">
        <v>0</v>
      </c>
      <c r="H41" s="991">
        <v>0</v>
      </c>
      <c r="I41" s="991" t="s">
        <v>90</v>
      </c>
    </row>
    <row r="42">
      <c r="D42" s="991" t="s">
        <v>123</v>
      </c>
      <c r="E42" s="991">
        <v>0</v>
      </c>
      <c r="F42" s="991">
        <v>0</v>
      </c>
      <c r="G42" s="991">
        <v>0</v>
      </c>
      <c r="H42" s="991">
        <v>0</v>
      </c>
      <c r="I42" s="991" t="s">
        <v>92</v>
      </c>
    </row>
    <row r="43">
      <c r="D43" s="991" t="s">
        <v>124</v>
      </c>
      <c r="E43" s="991">
        <v>0</v>
      </c>
      <c r="F43" s="991">
        <v>0</v>
      </c>
      <c r="G43" s="991">
        <v>0</v>
      </c>
      <c r="H43" s="991">
        <v>0</v>
      </c>
      <c r="I43" s="991" t="s">
        <v>90</v>
      </c>
    </row>
    <row r="44">
      <c r="D44" s="991" t="s">
        <v>125</v>
      </c>
      <c r="E44" s="991">
        <v>0</v>
      </c>
      <c r="F44" s="991">
        <v>0</v>
      </c>
      <c r="G44" s="991">
        <v>0</v>
      </c>
      <c r="H44" s="991">
        <v>0</v>
      </c>
      <c r="I44" s="991" t="s">
        <v>90</v>
      </c>
    </row>
    <row r="45">
      <c r="D45" s="991" t="s">
        <v>126</v>
      </c>
      <c r="E45" s="991">
        <v>0</v>
      </c>
      <c r="F45" s="991">
        <v>0</v>
      </c>
      <c r="G45" s="991">
        <v>0</v>
      </c>
      <c r="H45" s="991">
        <v>0</v>
      </c>
      <c r="I45" s="991" t="s">
        <v>92</v>
      </c>
    </row>
    <row r="46">
      <c r="D46" s="991" t="s">
        <v>127</v>
      </c>
      <c r="E46" s="991">
        <v>0</v>
      </c>
      <c r="F46" s="991">
        <v>0</v>
      </c>
      <c r="G46" s="991">
        <v>0</v>
      </c>
      <c r="H46" s="991">
        <v>0</v>
      </c>
      <c r="I46" s="991" t="s">
        <v>92</v>
      </c>
    </row>
    <row r="47">
      <c r="D47" s="991" t="s">
        <v>128</v>
      </c>
      <c r="E47" s="991">
        <v>0</v>
      </c>
      <c r="F47" s="991">
        <v>0</v>
      </c>
      <c r="G47" s="991">
        <v>0</v>
      </c>
      <c r="H47" s="991">
        <v>0</v>
      </c>
      <c r="I47" s="991" t="s">
        <v>92</v>
      </c>
    </row>
    <row r="48">
      <c r="D48" s="991" t="s">
        <v>129</v>
      </c>
      <c r="E48" s="991">
        <v>0</v>
      </c>
      <c r="F48" s="991">
        <v>0</v>
      </c>
      <c r="G48" s="991">
        <v>0</v>
      </c>
      <c r="H48" s="991">
        <v>0</v>
      </c>
      <c r="I48" s="991" t="s">
        <v>92</v>
      </c>
    </row>
    <row r="49">
      <c r="D49" s="991" t="s">
        <v>130</v>
      </c>
      <c r="E49" s="991">
        <v>0</v>
      </c>
      <c r="F49" s="991">
        <v>0</v>
      </c>
      <c r="G49" s="991">
        <v>0</v>
      </c>
      <c r="H49" s="991">
        <v>0</v>
      </c>
      <c r="I49" s="991" t="s">
        <v>92</v>
      </c>
    </row>
    <row r="50">
      <c r="D50" s="991" t="s">
        <v>131</v>
      </c>
      <c r="E50" s="991">
        <v>0</v>
      </c>
      <c r="F50" s="991">
        <v>0</v>
      </c>
      <c r="G50" s="991">
        <v>0</v>
      </c>
      <c r="H50" s="991">
        <v>0</v>
      </c>
      <c r="I50" s="991" t="s">
        <v>92</v>
      </c>
    </row>
    <row r="51">
      <c r="D51" s="991" t="s">
        <v>132</v>
      </c>
      <c r="E51" s="991">
        <v>0</v>
      </c>
      <c r="F51" s="991">
        <v>0</v>
      </c>
      <c r="G51" s="991">
        <v>0</v>
      </c>
      <c r="H51" s="991">
        <v>0</v>
      </c>
      <c r="I51" s="991" t="s">
        <v>92</v>
      </c>
    </row>
    <row r="52">
      <c r="D52" s="991" t="s">
        <v>133</v>
      </c>
      <c r="E52" s="991">
        <v>0</v>
      </c>
      <c r="F52" s="991">
        <v>0</v>
      </c>
      <c r="G52" s="991">
        <v>0</v>
      </c>
      <c r="H52" s="991">
        <v>0</v>
      </c>
      <c r="I52" s="991" t="s">
        <v>92</v>
      </c>
    </row>
    <row r="53">
      <c r="D53" s="991" t="s">
        <v>134</v>
      </c>
      <c r="E53" s="991">
        <v>0</v>
      </c>
      <c r="F53" s="991">
        <v>0</v>
      </c>
      <c r="G53" s="991">
        <v>0</v>
      </c>
      <c r="H53" s="991">
        <v>0</v>
      </c>
      <c r="I53" s="991" t="s">
        <v>92</v>
      </c>
    </row>
    <row r="54">
      <c r="D54" s="991" t="s">
        <v>135</v>
      </c>
      <c r="E54" s="991">
        <v>0</v>
      </c>
      <c r="F54" s="991">
        <v>0</v>
      </c>
      <c r="G54" s="991">
        <v>0</v>
      </c>
      <c r="H54" s="991">
        <v>0</v>
      </c>
      <c r="I54" s="991" t="s">
        <v>136</v>
      </c>
    </row>
    <row r="55">
      <c r="D55" s="991" t="s">
        <v>137</v>
      </c>
      <c r="E55" s="991">
        <v>0</v>
      </c>
      <c r="F55" s="991">
        <v>0</v>
      </c>
      <c r="G55" s="991">
        <v>0</v>
      </c>
      <c r="H55" s="991">
        <v>0</v>
      </c>
      <c r="I55" s="991" t="s">
        <v>92</v>
      </c>
    </row>
    <row r="56">
      <c r="D56" s="991" t="s">
        <v>138</v>
      </c>
      <c r="E56" s="991">
        <v>0</v>
      </c>
      <c r="F56" s="991">
        <v>0</v>
      </c>
      <c r="G56" s="991">
        <v>0</v>
      </c>
      <c r="H56" s="991">
        <v>0</v>
      </c>
      <c r="I56" s="991" t="s">
        <v>92</v>
      </c>
    </row>
    <row r="57">
      <c r="D57" s="991" t="s">
        <v>139</v>
      </c>
      <c r="E57" s="991">
        <v>0</v>
      </c>
      <c r="F57" s="991">
        <v>0</v>
      </c>
      <c r="G57" s="991">
        <v>0</v>
      </c>
      <c r="H57" s="991">
        <v>0</v>
      </c>
      <c r="I57" s="991" t="s">
        <v>92</v>
      </c>
    </row>
    <row r="58">
      <c r="D58" s="991" t="s">
        <v>140</v>
      </c>
      <c r="E58" s="991">
        <v>0</v>
      </c>
      <c r="F58" s="991">
        <v>0</v>
      </c>
      <c r="G58" s="991">
        <v>0</v>
      </c>
      <c r="H58" s="991">
        <v>0</v>
      </c>
      <c r="I58" s="991" t="s">
        <v>92</v>
      </c>
    </row>
    <row r="59">
      <c r="D59" s="991" t="s">
        <v>141</v>
      </c>
      <c r="E59" s="991">
        <v>0</v>
      </c>
      <c r="F59" s="991">
        <v>0</v>
      </c>
      <c r="G59" s="991">
        <v>0</v>
      </c>
      <c r="H59" s="991">
        <v>0</v>
      </c>
      <c r="I59" s="991" t="s">
        <v>92</v>
      </c>
    </row>
    <row r="60">
      <c r="D60" s="991" t="s">
        <v>142</v>
      </c>
      <c r="E60" s="991">
        <v>0</v>
      </c>
      <c r="F60" s="991">
        <v>0</v>
      </c>
      <c r="G60" s="991">
        <v>0</v>
      </c>
      <c r="H60" s="991">
        <v>0</v>
      </c>
      <c r="I60" s="991" t="s">
        <v>92</v>
      </c>
    </row>
    <row r="61">
      <c r="D61" s="991" t="s">
        <v>143</v>
      </c>
      <c r="E61" s="991">
        <v>0</v>
      </c>
      <c r="F61" s="991">
        <v>0</v>
      </c>
      <c r="G61" s="991">
        <v>0</v>
      </c>
      <c r="H61" s="991">
        <v>0</v>
      </c>
      <c r="I61" s="991" t="s">
        <v>92</v>
      </c>
    </row>
    <row r="62">
      <c r="D62" s="991" t="s">
        <v>144</v>
      </c>
      <c r="E62" s="991">
        <v>0</v>
      </c>
      <c r="F62" s="991">
        <v>0</v>
      </c>
      <c r="G62" s="991">
        <v>0</v>
      </c>
      <c r="H62" s="991">
        <v>0</v>
      </c>
      <c r="I62" s="991" t="s">
        <v>92</v>
      </c>
    </row>
    <row r="63">
      <c r="D63" s="991" t="s">
        <v>145</v>
      </c>
      <c r="E63" s="991">
        <v>0</v>
      </c>
      <c r="F63" s="991">
        <v>0</v>
      </c>
      <c r="G63" s="991">
        <v>0</v>
      </c>
      <c r="H63" s="991">
        <v>0</v>
      </c>
      <c r="I63" s="991" t="s">
        <v>92</v>
      </c>
    </row>
    <row r="64">
      <c r="D64" s="991" t="s">
        <v>146</v>
      </c>
      <c r="E64" s="991">
        <v>0</v>
      </c>
      <c r="F64" s="991">
        <v>0</v>
      </c>
      <c r="G64" s="991">
        <v>0</v>
      </c>
      <c r="H64" s="991">
        <v>0</v>
      </c>
      <c r="I64" s="991" t="s">
        <v>92</v>
      </c>
    </row>
    <row r="65">
      <c r="D65" s="991" t="s">
        <v>147</v>
      </c>
      <c r="E65" s="991">
        <v>0</v>
      </c>
      <c r="F65" s="991">
        <v>0</v>
      </c>
      <c r="G65" s="991">
        <v>0</v>
      </c>
      <c r="H65" s="991">
        <v>0</v>
      </c>
      <c r="I65" s="991" t="s">
        <v>92</v>
      </c>
    </row>
    <row r="66">
      <c r="D66" s="991" t="s">
        <v>148</v>
      </c>
      <c r="E66" s="991">
        <v>0</v>
      </c>
      <c r="F66" s="991">
        <v>0</v>
      </c>
      <c r="G66" s="991">
        <v>0</v>
      </c>
      <c r="H66" s="991">
        <v>0</v>
      </c>
      <c r="I66" s="991" t="s">
        <v>90</v>
      </c>
    </row>
    <row r="67">
      <c r="D67" s="991" t="s">
        <v>149</v>
      </c>
      <c r="E67" s="991">
        <v>0</v>
      </c>
      <c r="F67" s="991">
        <v>0</v>
      </c>
      <c r="G67" s="991">
        <v>0</v>
      </c>
      <c r="H67" s="991">
        <v>0</v>
      </c>
      <c r="I67" s="991" t="s">
        <v>136</v>
      </c>
    </row>
    <row r="68">
      <c r="D68" s="991" t="s">
        <v>150</v>
      </c>
      <c r="E68" s="991">
        <v>0</v>
      </c>
      <c r="F68" s="991">
        <v>0</v>
      </c>
      <c r="G68" s="991">
        <v>0</v>
      </c>
      <c r="H68" s="991">
        <v>0</v>
      </c>
      <c r="I68" s="991" t="s">
        <v>92</v>
      </c>
    </row>
    <row r="69">
      <c r="D69" s="991" t="s">
        <v>151</v>
      </c>
      <c r="E69" s="991">
        <v>0</v>
      </c>
      <c r="F69" s="991">
        <v>0</v>
      </c>
      <c r="G69" s="991">
        <v>0</v>
      </c>
      <c r="H69" s="991">
        <v>0</v>
      </c>
      <c r="I69" s="991" t="s">
        <v>92</v>
      </c>
    </row>
    <row r="70">
      <c r="D70" s="991" t="s">
        <v>152</v>
      </c>
      <c r="E70" s="991">
        <v>0</v>
      </c>
      <c r="F70" s="991">
        <v>0</v>
      </c>
      <c r="G70" s="991">
        <v>0</v>
      </c>
      <c r="H70" s="991">
        <v>0</v>
      </c>
      <c r="I70" s="991" t="s">
        <v>92</v>
      </c>
    </row>
    <row r="71">
      <c r="D71" s="991" t="s">
        <v>153</v>
      </c>
      <c r="E71" s="991">
        <v>0</v>
      </c>
      <c r="F71" s="991">
        <v>0</v>
      </c>
      <c r="G71" s="991">
        <v>0</v>
      </c>
      <c r="H71" s="991">
        <v>0</v>
      </c>
      <c r="I71" s="991" t="s">
        <v>92</v>
      </c>
    </row>
    <row r="72">
      <c r="D72" s="991" t="s">
        <v>154</v>
      </c>
      <c r="E72" s="991">
        <v>0</v>
      </c>
      <c r="F72" s="991">
        <v>0</v>
      </c>
      <c r="G72" s="991">
        <v>0</v>
      </c>
      <c r="H72" s="991">
        <v>0</v>
      </c>
      <c r="I72" s="991" t="s">
        <v>92</v>
      </c>
    </row>
    <row r="73">
      <c r="D73" s="991" t="s">
        <v>155</v>
      </c>
      <c r="E73" s="991">
        <v>0</v>
      </c>
      <c r="F73" s="991">
        <v>0</v>
      </c>
      <c r="G73" s="991">
        <v>0</v>
      </c>
      <c r="H73" s="991">
        <v>0</v>
      </c>
      <c r="I73" s="991" t="s">
        <v>136</v>
      </c>
    </row>
    <row r="74">
      <c r="D74" s="991" t="s">
        <v>156</v>
      </c>
      <c r="E74" s="991">
        <v>0</v>
      </c>
      <c r="F74" s="991">
        <v>0</v>
      </c>
      <c r="G74" s="991">
        <v>0</v>
      </c>
      <c r="H74" s="991">
        <v>0</v>
      </c>
      <c r="I74" s="991" t="s">
        <v>92</v>
      </c>
    </row>
    <row r="75">
      <c r="D75" s="991" t="s">
        <v>157</v>
      </c>
      <c r="E75" s="991">
        <v>0</v>
      </c>
      <c r="F75" s="991">
        <v>0</v>
      </c>
      <c r="G75" s="991">
        <v>0</v>
      </c>
      <c r="H75" s="991">
        <v>0</v>
      </c>
      <c r="I75" s="991" t="s">
        <v>90</v>
      </c>
    </row>
    <row r="76">
      <c r="D76" s="991" t="s">
        <v>158</v>
      </c>
      <c r="E76" s="991">
        <v>0</v>
      </c>
      <c r="F76" s="991">
        <v>0</v>
      </c>
      <c r="G76" s="991">
        <v>0</v>
      </c>
      <c r="H76" s="991">
        <v>0</v>
      </c>
      <c r="I76" s="991" t="s">
        <v>92</v>
      </c>
    </row>
    <row r="77">
      <c r="D77" s="991" t="s">
        <v>159</v>
      </c>
      <c r="E77" s="991">
        <v>0</v>
      </c>
      <c r="F77" s="991">
        <v>0</v>
      </c>
      <c r="G77" s="991">
        <v>0</v>
      </c>
      <c r="H77" s="991">
        <v>0</v>
      </c>
      <c r="I77" s="991" t="s">
        <v>136</v>
      </c>
    </row>
    <row r="78">
      <c r="D78" s="991" t="s">
        <v>160</v>
      </c>
      <c r="E78" s="991">
        <v>0</v>
      </c>
      <c r="F78" s="991">
        <v>0</v>
      </c>
      <c r="G78" s="991">
        <v>0</v>
      </c>
      <c r="H78" s="991">
        <v>0</v>
      </c>
      <c r="I78" s="991" t="s">
        <v>90</v>
      </c>
    </row>
    <row r="79">
      <c r="D79" s="991" t="s">
        <v>161</v>
      </c>
      <c r="E79" s="991">
        <v>0</v>
      </c>
      <c r="F79" s="991">
        <v>0</v>
      </c>
      <c r="G79" s="991">
        <v>0</v>
      </c>
      <c r="H79" s="991">
        <v>0</v>
      </c>
      <c r="I79" s="991" t="s">
        <v>92</v>
      </c>
    </row>
    <row r="80">
      <c r="D80" s="991" t="s">
        <v>162</v>
      </c>
      <c r="E80" s="991">
        <v>0</v>
      </c>
      <c r="F80" s="991">
        <v>0</v>
      </c>
      <c r="G80" s="991">
        <v>0</v>
      </c>
      <c r="H80" s="991">
        <v>0</v>
      </c>
      <c r="I80" s="991" t="s">
        <v>92</v>
      </c>
    </row>
    <row r="81">
      <c r="D81" s="991" t="s">
        <v>163</v>
      </c>
      <c r="E81" s="991">
        <v>0</v>
      </c>
      <c r="F81" s="991">
        <v>0</v>
      </c>
      <c r="G81" s="991">
        <v>0</v>
      </c>
      <c r="H81" s="991">
        <v>0</v>
      </c>
      <c r="I81" s="991" t="s">
        <v>92</v>
      </c>
    </row>
    <row r="82">
      <c r="D82" s="991" t="s">
        <v>164</v>
      </c>
      <c r="E82" s="991">
        <v>0</v>
      </c>
      <c r="F82" s="991">
        <v>0</v>
      </c>
      <c r="G82" s="991">
        <v>0</v>
      </c>
      <c r="H82" s="991">
        <v>0</v>
      </c>
      <c r="I82" s="991" t="s">
        <v>92</v>
      </c>
    </row>
    <row r="83">
      <c r="D83" s="991" t="s">
        <v>165</v>
      </c>
      <c r="E83" s="991">
        <v>0</v>
      </c>
      <c r="F83" s="991">
        <v>0</v>
      </c>
      <c r="G83" s="991">
        <v>0</v>
      </c>
      <c r="H83" s="991">
        <v>0</v>
      </c>
      <c r="I83" s="991" t="s">
        <v>92</v>
      </c>
    </row>
    <row r="84">
      <c r="D84" s="991" t="s">
        <v>166</v>
      </c>
      <c r="E84" s="991">
        <v>0</v>
      </c>
      <c r="F84" s="991">
        <v>0</v>
      </c>
      <c r="G84" s="991">
        <v>0</v>
      </c>
      <c r="H84" s="991">
        <v>0</v>
      </c>
      <c r="I84" s="991" t="s">
        <v>136</v>
      </c>
    </row>
    <row r="85">
      <c r="D85" s="991" t="s">
        <v>167</v>
      </c>
      <c r="E85" s="991">
        <v>0</v>
      </c>
      <c r="F85" s="991">
        <v>0</v>
      </c>
      <c r="G85" s="991">
        <v>0</v>
      </c>
      <c r="H85" s="991">
        <v>0</v>
      </c>
      <c r="I85" s="991" t="s">
        <v>92</v>
      </c>
    </row>
    <row r="86">
      <c r="D86" s="991" t="s">
        <v>168</v>
      </c>
      <c r="E86" s="991">
        <v>0</v>
      </c>
      <c r="F86" s="991">
        <v>0</v>
      </c>
      <c r="G86" s="991">
        <v>0</v>
      </c>
      <c r="H86" s="991">
        <v>0</v>
      </c>
      <c r="I86" s="991" t="s">
        <v>136</v>
      </c>
    </row>
    <row r="87">
      <c r="D87" s="991" t="s">
        <v>169</v>
      </c>
      <c r="E87" s="991">
        <v>0</v>
      </c>
      <c r="F87" s="991">
        <v>0</v>
      </c>
      <c r="G87" s="991">
        <v>0</v>
      </c>
      <c r="H87" s="991">
        <v>0</v>
      </c>
      <c r="I87" s="991" t="s">
        <v>92</v>
      </c>
    </row>
    <row r="88">
      <c r="D88" s="991" t="s">
        <v>170</v>
      </c>
      <c r="E88" s="991">
        <v>0</v>
      </c>
      <c r="F88" s="991">
        <v>0</v>
      </c>
      <c r="G88" s="991">
        <v>0</v>
      </c>
      <c r="H88" s="991">
        <v>0</v>
      </c>
      <c r="I88" s="991" t="s">
        <v>92</v>
      </c>
    </row>
    <row r="89">
      <c r="D89" s="991" t="s">
        <v>171</v>
      </c>
      <c r="E89" s="991">
        <v>0</v>
      </c>
      <c r="F89" s="991">
        <v>0</v>
      </c>
      <c r="G89" s="991">
        <v>0</v>
      </c>
      <c r="H89" s="991">
        <v>0</v>
      </c>
      <c r="I89" s="991" t="s">
        <v>92</v>
      </c>
    </row>
    <row r="90">
      <c r="D90" s="991" t="s">
        <v>172</v>
      </c>
      <c r="E90" s="991">
        <v>0</v>
      </c>
      <c r="F90" s="991">
        <v>0</v>
      </c>
      <c r="G90" s="991">
        <v>0</v>
      </c>
      <c r="H90" s="991">
        <v>0</v>
      </c>
      <c r="I90" s="991" t="s">
        <v>92</v>
      </c>
    </row>
    <row r="91">
      <c r="D91" s="991" t="s">
        <v>173</v>
      </c>
      <c r="E91" s="991">
        <v>0</v>
      </c>
      <c r="F91" s="991">
        <v>0</v>
      </c>
      <c r="G91" s="991">
        <v>0</v>
      </c>
      <c r="H91" s="991">
        <v>0</v>
      </c>
      <c r="I91" s="991" t="s">
        <v>92</v>
      </c>
    </row>
    <row r="92">
      <c r="D92" s="991" t="s">
        <v>174</v>
      </c>
      <c r="E92" s="991">
        <v>0</v>
      </c>
      <c r="F92" s="991">
        <v>0</v>
      </c>
      <c r="G92" s="991">
        <v>0</v>
      </c>
      <c r="H92" s="991">
        <v>0</v>
      </c>
      <c r="I92" s="991" t="s">
        <v>92</v>
      </c>
    </row>
    <row r="93">
      <c r="D93" s="991" t="s">
        <v>175</v>
      </c>
      <c r="E93" s="991">
        <v>0</v>
      </c>
      <c r="F93" s="991">
        <v>0</v>
      </c>
      <c r="G93" s="991">
        <v>0</v>
      </c>
      <c r="H93" s="991">
        <v>0</v>
      </c>
      <c r="I93" s="991" t="s">
        <v>90</v>
      </c>
    </row>
    <row r="94">
      <c r="D94" s="991" t="s">
        <v>176</v>
      </c>
      <c r="E94" s="991">
        <v>0</v>
      </c>
      <c r="F94" s="991">
        <v>0</v>
      </c>
      <c r="G94" s="991">
        <v>0</v>
      </c>
      <c r="H94" s="991">
        <v>0</v>
      </c>
      <c r="I94" s="991" t="s">
        <v>92</v>
      </c>
    </row>
    <row r="95">
      <c r="D95" s="991" t="s">
        <v>177</v>
      </c>
      <c r="E95" s="991">
        <v>0</v>
      </c>
      <c r="F95" s="991">
        <v>0</v>
      </c>
      <c r="G95" s="991">
        <v>0</v>
      </c>
      <c r="H95" s="991">
        <v>0</v>
      </c>
      <c r="I95" s="991" t="s">
        <v>92</v>
      </c>
    </row>
    <row r="96">
      <c r="D96" s="991" t="s">
        <v>178</v>
      </c>
      <c r="E96" s="991">
        <v>0</v>
      </c>
      <c r="F96" s="991">
        <v>0</v>
      </c>
      <c r="G96" s="991">
        <v>0</v>
      </c>
      <c r="H96" s="991">
        <v>0</v>
      </c>
      <c r="I96" s="991" t="s">
        <v>92</v>
      </c>
    </row>
    <row r="97">
      <c r="D97" s="991" t="s">
        <v>179</v>
      </c>
      <c r="E97" s="991">
        <v>0</v>
      </c>
      <c r="F97" s="991">
        <v>0</v>
      </c>
      <c r="G97" s="991">
        <v>0</v>
      </c>
      <c r="H97" s="991">
        <v>0</v>
      </c>
      <c r="I97" s="991" t="s">
        <v>92</v>
      </c>
    </row>
    <row r="98">
      <c r="D98" s="991" t="s">
        <v>180</v>
      </c>
      <c r="E98" s="991">
        <v>0</v>
      </c>
      <c r="F98" s="991">
        <v>0</v>
      </c>
      <c r="G98" s="991">
        <v>0</v>
      </c>
      <c r="H98" s="991">
        <v>0</v>
      </c>
      <c r="I98" s="991" t="s">
        <v>92</v>
      </c>
    </row>
    <row r="99">
      <c r="D99" s="991" t="s">
        <v>181</v>
      </c>
      <c r="E99" s="991">
        <v>0</v>
      </c>
      <c r="F99" s="991">
        <v>0</v>
      </c>
      <c r="G99" s="991">
        <v>0</v>
      </c>
      <c r="H99" s="991">
        <v>0</v>
      </c>
      <c r="I99" s="991" t="s">
        <v>136</v>
      </c>
    </row>
    <row r="100">
      <c r="D100" s="991" t="s">
        <v>182</v>
      </c>
      <c r="E100" s="991">
        <v>0</v>
      </c>
      <c r="F100" s="991">
        <v>0</v>
      </c>
      <c r="G100" s="991">
        <v>0</v>
      </c>
      <c r="H100" s="991">
        <v>0</v>
      </c>
      <c r="I100" s="991" t="s">
        <v>92</v>
      </c>
    </row>
    <row r="101">
      <c r="D101" s="991" t="s">
        <v>183</v>
      </c>
      <c r="E101" s="991">
        <v>0</v>
      </c>
      <c r="F101" s="991">
        <v>0</v>
      </c>
      <c r="G101" s="991">
        <v>0</v>
      </c>
      <c r="H101" s="991">
        <v>0</v>
      </c>
      <c r="I101" s="991" t="s">
        <v>92</v>
      </c>
    </row>
    <row r="102">
      <c r="D102" s="991" t="s">
        <v>184</v>
      </c>
      <c r="E102" s="991">
        <v>0</v>
      </c>
      <c r="F102" s="991">
        <v>0</v>
      </c>
      <c r="G102" s="991">
        <v>0</v>
      </c>
      <c r="H102" s="991">
        <v>0</v>
      </c>
      <c r="I102" s="991" t="s">
        <v>136</v>
      </c>
    </row>
    <row r="103">
      <c r="D103" s="991" t="s">
        <v>185</v>
      </c>
      <c r="E103" s="991">
        <v>0</v>
      </c>
      <c r="F103" s="991">
        <v>0</v>
      </c>
      <c r="G103" s="991">
        <v>0</v>
      </c>
      <c r="H103" s="991">
        <v>0</v>
      </c>
      <c r="I103" s="991" t="s">
        <v>92</v>
      </c>
    </row>
    <row r="104">
      <c r="D104" s="991" t="s">
        <v>186</v>
      </c>
      <c r="E104" s="991">
        <v>0</v>
      </c>
      <c r="F104" s="991">
        <v>0</v>
      </c>
      <c r="G104" s="991">
        <v>0</v>
      </c>
      <c r="H104" s="991">
        <v>0</v>
      </c>
      <c r="I104" s="991" t="s">
        <v>92</v>
      </c>
    </row>
    <row r="105">
      <c r="D105" s="991" t="s">
        <v>187</v>
      </c>
      <c r="E105" s="991">
        <v>0</v>
      </c>
      <c r="F105" s="991">
        <v>0</v>
      </c>
      <c r="G105" s="991">
        <v>0</v>
      </c>
      <c r="H105" s="991">
        <v>0</v>
      </c>
      <c r="I105" s="991" t="s">
        <v>92</v>
      </c>
    </row>
    <row r="106">
      <c r="D106" s="991" t="s">
        <v>188</v>
      </c>
      <c r="E106" s="991">
        <v>0</v>
      </c>
      <c r="F106" s="991">
        <v>0</v>
      </c>
      <c r="G106" s="991">
        <v>0</v>
      </c>
      <c r="H106" s="991">
        <v>0</v>
      </c>
      <c r="I106" s="991" t="s">
        <v>189</v>
      </c>
    </row>
    <row r="107">
      <c r="D107" s="991" t="s">
        <v>190</v>
      </c>
      <c r="E107" s="991">
        <v>0</v>
      </c>
      <c r="F107" s="991">
        <v>0</v>
      </c>
      <c r="G107" s="991">
        <v>0</v>
      </c>
      <c r="H107" s="991">
        <v>0</v>
      </c>
      <c r="I107" s="991" t="s">
        <v>92</v>
      </c>
    </row>
    <row r="108">
      <c r="D108" s="991" t="s">
        <v>191</v>
      </c>
      <c r="E108" s="991">
        <v>0</v>
      </c>
      <c r="F108" s="991">
        <v>0</v>
      </c>
      <c r="G108" s="991">
        <v>0</v>
      </c>
      <c r="H108" s="991">
        <v>0</v>
      </c>
      <c r="I108" s="991" t="s">
        <v>92</v>
      </c>
    </row>
    <row r="109">
      <c r="D109" s="991" t="s">
        <v>192</v>
      </c>
      <c r="E109" s="991">
        <v>0</v>
      </c>
      <c r="F109" s="991">
        <v>0</v>
      </c>
      <c r="G109" s="991">
        <v>0</v>
      </c>
      <c r="H109" s="991">
        <v>0</v>
      </c>
      <c r="I109" s="991" t="s">
        <v>92</v>
      </c>
    </row>
    <row r="110">
      <c r="D110" s="991" t="s">
        <v>193</v>
      </c>
      <c r="E110" s="991">
        <v>0</v>
      </c>
      <c r="F110" s="991">
        <v>0</v>
      </c>
      <c r="G110" s="991">
        <v>0</v>
      </c>
      <c r="H110" s="991">
        <v>0</v>
      </c>
      <c r="I110" s="991" t="s">
        <v>92</v>
      </c>
    </row>
    <row r="111">
      <c r="D111" s="991" t="s">
        <v>194</v>
      </c>
      <c r="E111" s="991">
        <v>0</v>
      </c>
      <c r="F111" s="991">
        <v>0</v>
      </c>
      <c r="G111" s="991">
        <v>0</v>
      </c>
      <c r="H111" s="991">
        <v>0</v>
      </c>
      <c r="I111" s="991" t="s">
        <v>92</v>
      </c>
    </row>
    <row r="112">
      <c r="D112" s="991" t="s">
        <v>195</v>
      </c>
      <c r="E112" s="991">
        <v>0</v>
      </c>
      <c r="F112" s="991">
        <v>0</v>
      </c>
      <c r="G112" s="991">
        <v>0</v>
      </c>
      <c r="H112" s="991">
        <v>0</v>
      </c>
      <c r="I112" s="991" t="s">
        <v>90</v>
      </c>
    </row>
    <row r="113">
      <c r="D113" s="991" t="s">
        <v>196</v>
      </c>
      <c r="E113" s="991">
        <v>0</v>
      </c>
      <c r="F113" s="991">
        <v>0</v>
      </c>
      <c r="G113" s="991">
        <v>0</v>
      </c>
      <c r="H113" s="991">
        <v>0</v>
      </c>
      <c r="I113" s="991" t="s">
        <v>92</v>
      </c>
    </row>
    <row r="114">
      <c r="D114" s="991" t="s">
        <v>197</v>
      </c>
      <c r="E114" s="991">
        <v>0</v>
      </c>
      <c r="F114" s="991">
        <v>0</v>
      </c>
      <c r="G114" s="991">
        <v>0</v>
      </c>
      <c r="H114" s="991">
        <v>0</v>
      </c>
      <c r="I114" s="991" t="s">
        <v>92</v>
      </c>
    </row>
    <row r="115">
      <c r="D115" s="991" t="s">
        <v>198</v>
      </c>
      <c r="E115" s="991">
        <v>0</v>
      </c>
      <c r="F115" s="991">
        <v>0</v>
      </c>
      <c r="G115" s="991">
        <v>0</v>
      </c>
      <c r="H115" s="991">
        <v>0</v>
      </c>
      <c r="I115" s="991" t="s">
        <v>136</v>
      </c>
    </row>
    <row r="116">
      <c r="D116" s="991" t="s">
        <v>199</v>
      </c>
      <c r="E116" s="991">
        <v>0</v>
      </c>
      <c r="F116" s="991">
        <v>0</v>
      </c>
      <c r="G116" s="991">
        <v>0</v>
      </c>
      <c r="H116" s="991">
        <v>0</v>
      </c>
      <c r="I116" s="991" t="s">
        <v>92</v>
      </c>
    </row>
    <row r="117">
      <c r="D117" s="991" t="s">
        <v>200</v>
      </c>
      <c r="E117" s="991">
        <v>0</v>
      </c>
      <c r="F117" s="991">
        <v>0</v>
      </c>
      <c r="G117" s="991">
        <v>0</v>
      </c>
      <c r="H117" s="991">
        <v>0</v>
      </c>
      <c r="I117" s="991" t="s">
        <v>136</v>
      </c>
    </row>
    <row r="118">
      <c r="D118" s="991" t="s">
        <v>201</v>
      </c>
      <c r="E118" s="991">
        <v>0</v>
      </c>
      <c r="F118" s="991">
        <v>0</v>
      </c>
      <c r="G118" s="991">
        <v>0</v>
      </c>
      <c r="H118" s="991">
        <v>0</v>
      </c>
      <c r="I118" s="991" t="s">
        <v>92</v>
      </c>
    </row>
    <row r="119">
      <c r="D119" s="991" t="s">
        <v>202</v>
      </c>
      <c r="E119" s="991">
        <v>0</v>
      </c>
      <c r="F119" s="991">
        <v>0</v>
      </c>
      <c r="G119" s="991">
        <v>0</v>
      </c>
      <c r="H119" s="991">
        <v>0</v>
      </c>
      <c r="I119" s="991" t="s">
        <v>92</v>
      </c>
    </row>
    <row r="120">
      <c r="D120" s="991" t="s">
        <v>203</v>
      </c>
      <c r="E120" s="991">
        <v>0</v>
      </c>
      <c r="F120" s="991">
        <v>0</v>
      </c>
      <c r="G120" s="991">
        <v>0</v>
      </c>
      <c r="H120" s="991">
        <v>0</v>
      </c>
      <c r="I120" s="991" t="s">
        <v>136</v>
      </c>
    </row>
    <row r="121">
      <c r="D121" s="991" t="s">
        <v>204</v>
      </c>
      <c r="E121" s="991">
        <v>0</v>
      </c>
      <c r="F121" s="991">
        <v>0</v>
      </c>
      <c r="G121" s="991">
        <v>0</v>
      </c>
      <c r="H121" s="991">
        <v>0</v>
      </c>
      <c r="I121" s="991" t="s">
        <v>92</v>
      </c>
    </row>
    <row r="122">
      <c r="D122" s="991" t="s">
        <v>205</v>
      </c>
      <c r="E122" s="991">
        <v>0</v>
      </c>
      <c r="F122" s="991">
        <v>0</v>
      </c>
      <c r="G122" s="991">
        <v>0</v>
      </c>
      <c r="H122" s="991">
        <v>0</v>
      </c>
      <c r="I122" s="991" t="s">
        <v>92</v>
      </c>
    </row>
    <row r="123">
      <c r="D123" s="991" t="s">
        <v>206</v>
      </c>
      <c r="E123" s="991">
        <v>0</v>
      </c>
      <c r="F123" s="991">
        <v>0</v>
      </c>
      <c r="G123" s="991">
        <v>0</v>
      </c>
      <c r="H123" s="991">
        <v>0</v>
      </c>
      <c r="I123" s="991" t="s">
        <v>136</v>
      </c>
    </row>
    <row r="124">
      <c r="D124" s="991" t="s">
        <v>207</v>
      </c>
      <c r="E124" s="991">
        <v>0</v>
      </c>
      <c r="F124" s="991">
        <v>0</v>
      </c>
      <c r="G124" s="991">
        <v>0</v>
      </c>
      <c r="H124" s="991">
        <v>0</v>
      </c>
      <c r="I124" s="991" t="s">
        <v>136</v>
      </c>
    </row>
    <row r="125">
      <c r="D125" s="991" t="s">
        <v>208</v>
      </c>
      <c r="E125" s="991">
        <v>0</v>
      </c>
      <c r="F125" s="991">
        <v>0</v>
      </c>
      <c r="G125" s="991">
        <v>0</v>
      </c>
      <c r="H125" s="991">
        <v>0</v>
      </c>
      <c r="I125" s="991" t="s">
        <v>90</v>
      </c>
    </row>
    <row r="126">
      <c r="D126" s="991" t="s">
        <v>209</v>
      </c>
      <c r="E126" s="991">
        <v>0</v>
      </c>
      <c r="F126" s="991">
        <v>0</v>
      </c>
      <c r="G126" s="991">
        <v>0</v>
      </c>
      <c r="H126" s="991">
        <v>0</v>
      </c>
      <c r="I126" s="991" t="s">
        <v>92</v>
      </c>
    </row>
    <row r="127">
      <c r="D127" s="991" t="s">
        <v>210</v>
      </c>
      <c r="E127" s="991">
        <v>0</v>
      </c>
      <c r="F127" s="991">
        <v>0</v>
      </c>
      <c r="G127" s="991">
        <v>0</v>
      </c>
      <c r="H127" s="991">
        <v>0</v>
      </c>
      <c r="I127" s="991" t="s">
        <v>92</v>
      </c>
    </row>
    <row r="128">
      <c r="D128" s="991" t="s">
        <v>211</v>
      </c>
      <c r="E128" s="991">
        <v>0</v>
      </c>
      <c r="F128" s="991">
        <v>0</v>
      </c>
      <c r="G128" s="991">
        <v>0</v>
      </c>
      <c r="H128" s="991">
        <v>0</v>
      </c>
      <c r="I128" s="991" t="s">
        <v>92</v>
      </c>
    </row>
    <row r="129">
      <c r="D129" s="991" t="s">
        <v>212</v>
      </c>
      <c r="E129" s="991">
        <v>0</v>
      </c>
      <c r="F129" s="991">
        <v>0</v>
      </c>
      <c r="G129" s="991">
        <v>0</v>
      </c>
      <c r="H129" s="991">
        <v>0</v>
      </c>
      <c r="I129" s="991" t="s">
        <v>92</v>
      </c>
    </row>
    <row r="130">
      <c r="D130" s="991" t="s">
        <v>213</v>
      </c>
      <c r="E130" s="991">
        <v>0</v>
      </c>
      <c r="F130" s="991">
        <v>0</v>
      </c>
      <c r="G130" s="991">
        <v>0</v>
      </c>
      <c r="H130" s="991">
        <v>0</v>
      </c>
      <c r="I130" s="991" t="s">
        <v>92</v>
      </c>
    </row>
    <row r="131">
      <c r="D131" s="991" t="s">
        <v>214</v>
      </c>
      <c r="E131" s="991">
        <v>0</v>
      </c>
      <c r="F131" s="991">
        <v>0</v>
      </c>
      <c r="G131" s="991">
        <v>0</v>
      </c>
      <c r="H131" s="991">
        <v>0</v>
      </c>
      <c r="I131" s="991" t="s">
        <v>92</v>
      </c>
    </row>
    <row r="132">
      <c r="D132" s="991" t="s">
        <v>215</v>
      </c>
      <c r="E132" s="991">
        <v>0</v>
      </c>
      <c r="F132" s="991">
        <v>0</v>
      </c>
      <c r="G132" s="991">
        <v>0</v>
      </c>
      <c r="H132" s="991">
        <v>0</v>
      </c>
      <c r="I132" s="991" t="s">
        <v>92</v>
      </c>
    </row>
    <row r="133">
      <c r="D133" s="991" t="s">
        <v>216</v>
      </c>
      <c r="E133" s="991">
        <v>0</v>
      </c>
      <c r="F133" s="991">
        <v>0</v>
      </c>
      <c r="G133" s="991">
        <v>0</v>
      </c>
      <c r="H133" s="991">
        <v>0</v>
      </c>
      <c r="I133" s="991" t="s">
        <v>189</v>
      </c>
    </row>
    <row r="134">
      <c r="D134" s="991" t="s">
        <v>217</v>
      </c>
      <c r="E134" s="991">
        <v>0</v>
      </c>
      <c r="F134" s="991">
        <v>0</v>
      </c>
      <c r="G134" s="991">
        <v>0</v>
      </c>
      <c r="H134" s="991">
        <v>0</v>
      </c>
      <c r="I134" s="991" t="s">
        <v>92</v>
      </c>
    </row>
    <row r="135">
      <c r="D135" s="991" t="s">
        <v>218</v>
      </c>
      <c r="E135" s="991">
        <v>0</v>
      </c>
      <c r="F135" s="991">
        <v>0</v>
      </c>
      <c r="G135" s="991">
        <v>0</v>
      </c>
      <c r="H135" s="991">
        <v>0</v>
      </c>
      <c r="I135" s="991" t="s">
        <v>92</v>
      </c>
    </row>
    <row r="136">
      <c r="D136" s="991" t="s">
        <v>219</v>
      </c>
      <c r="E136" s="991">
        <v>0</v>
      </c>
      <c r="F136" s="991">
        <v>0</v>
      </c>
      <c r="G136" s="991">
        <v>0</v>
      </c>
      <c r="H136" s="991">
        <v>0</v>
      </c>
      <c r="I136" s="991" t="s">
        <v>92</v>
      </c>
    </row>
    <row r="137">
      <c r="D137" s="991" t="s">
        <v>220</v>
      </c>
      <c r="E137" s="991">
        <v>0</v>
      </c>
      <c r="F137" s="991">
        <v>0</v>
      </c>
      <c r="G137" s="991">
        <v>0</v>
      </c>
      <c r="H137" s="991">
        <v>0</v>
      </c>
      <c r="I137" s="991" t="s">
        <v>92</v>
      </c>
    </row>
    <row r="138">
      <c r="D138" s="991" t="s">
        <v>221</v>
      </c>
      <c r="E138" s="991">
        <v>0</v>
      </c>
      <c r="F138" s="991">
        <v>0</v>
      </c>
      <c r="G138" s="991">
        <v>0</v>
      </c>
      <c r="H138" s="991">
        <v>0</v>
      </c>
      <c r="I138" s="991" t="s">
        <v>136</v>
      </c>
    </row>
    <row r="139">
      <c r="D139" s="991" t="s">
        <v>222</v>
      </c>
      <c r="E139" s="991">
        <v>0</v>
      </c>
      <c r="F139" s="991">
        <v>0</v>
      </c>
      <c r="G139" s="991">
        <v>0</v>
      </c>
      <c r="H139" s="991">
        <v>0</v>
      </c>
      <c r="I139" s="991" t="s">
        <v>136</v>
      </c>
    </row>
    <row r="140">
      <c r="D140" s="991" t="s">
        <v>223</v>
      </c>
      <c r="E140" s="991">
        <v>0</v>
      </c>
      <c r="F140" s="991">
        <v>0</v>
      </c>
      <c r="G140" s="991">
        <v>0</v>
      </c>
      <c r="H140" s="991">
        <v>0</v>
      </c>
      <c r="I140" s="991" t="s">
        <v>92</v>
      </c>
    </row>
    <row r="141">
      <c r="D141" s="991" t="s">
        <v>224</v>
      </c>
      <c r="E141" s="991">
        <v>0</v>
      </c>
      <c r="F141" s="991">
        <v>0</v>
      </c>
      <c r="G141" s="991">
        <v>0</v>
      </c>
      <c r="H141" s="991">
        <v>0</v>
      </c>
      <c r="I141" s="991" t="s">
        <v>90</v>
      </c>
    </row>
    <row r="142">
      <c r="D142" s="991" t="s">
        <v>225</v>
      </c>
      <c r="E142" s="991">
        <v>0</v>
      </c>
      <c r="F142" s="991">
        <v>0</v>
      </c>
      <c r="G142" s="991">
        <v>0</v>
      </c>
      <c r="H142" s="991">
        <v>0</v>
      </c>
      <c r="I142" s="991" t="s">
        <v>136</v>
      </c>
    </row>
    <row r="143">
      <c r="D143" s="991" t="s">
        <v>226</v>
      </c>
      <c r="E143" s="991">
        <v>0</v>
      </c>
      <c r="F143" s="991">
        <v>0</v>
      </c>
      <c r="G143" s="991">
        <v>0</v>
      </c>
      <c r="H143" s="991">
        <v>0</v>
      </c>
      <c r="I143" s="991" t="s">
        <v>92</v>
      </c>
    </row>
    <row r="144">
      <c r="D144" s="991" t="s">
        <v>227</v>
      </c>
      <c r="E144" s="991">
        <v>0</v>
      </c>
      <c r="F144" s="991">
        <v>0</v>
      </c>
      <c r="G144" s="991">
        <v>0</v>
      </c>
      <c r="H144" s="991">
        <v>0</v>
      </c>
      <c r="I144" s="991" t="s">
        <v>136</v>
      </c>
    </row>
    <row r="145">
      <c r="D145" s="991" t="s">
        <v>228</v>
      </c>
      <c r="E145" s="991">
        <v>0</v>
      </c>
      <c r="F145" s="991">
        <v>0</v>
      </c>
      <c r="G145" s="991">
        <v>0</v>
      </c>
      <c r="H145" s="991">
        <v>0</v>
      </c>
      <c r="I145" s="991" t="s">
        <v>136</v>
      </c>
    </row>
    <row r="146">
      <c r="D146" s="991" t="s">
        <v>229</v>
      </c>
      <c r="E146" s="991">
        <v>0</v>
      </c>
      <c r="F146" s="991">
        <v>0</v>
      </c>
      <c r="G146" s="991">
        <v>0</v>
      </c>
      <c r="H146" s="991">
        <v>0</v>
      </c>
      <c r="I146" s="991" t="s">
        <v>136</v>
      </c>
    </row>
    <row r="147">
      <c r="D147" s="991" t="s">
        <v>230</v>
      </c>
      <c r="E147" s="991">
        <v>0</v>
      </c>
      <c r="F147" s="991">
        <v>0</v>
      </c>
      <c r="G147" s="991">
        <v>0</v>
      </c>
      <c r="H147" s="991">
        <v>0</v>
      </c>
      <c r="I147" s="991" t="s">
        <v>136</v>
      </c>
    </row>
    <row r="148">
      <c r="D148" s="991" t="s">
        <v>231</v>
      </c>
      <c r="E148" s="991">
        <v>0</v>
      </c>
      <c r="F148" s="991">
        <v>0</v>
      </c>
      <c r="G148" s="991">
        <v>0</v>
      </c>
      <c r="H148" s="991">
        <v>0</v>
      </c>
      <c r="I148" s="991" t="s">
        <v>136</v>
      </c>
    </row>
    <row r="149">
      <c r="D149" s="991" t="s">
        <v>232</v>
      </c>
      <c r="E149" s="991">
        <v>0</v>
      </c>
      <c r="F149" s="991">
        <v>0</v>
      </c>
      <c r="G149" s="991">
        <v>0</v>
      </c>
      <c r="H149" s="991">
        <v>0</v>
      </c>
      <c r="I149" s="991" t="s">
        <v>92</v>
      </c>
    </row>
    <row r="150">
      <c r="D150" s="991" t="s">
        <v>233</v>
      </c>
      <c r="E150" s="991">
        <v>0</v>
      </c>
      <c r="F150" s="991">
        <v>0</v>
      </c>
      <c r="G150" s="991">
        <v>0</v>
      </c>
      <c r="H150" s="991">
        <v>0</v>
      </c>
      <c r="I150" s="991" t="s">
        <v>92</v>
      </c>
    </row>
    <row r="151">
      <c r="D151" s="991" t="s">
        <v>234</v>
      </c>
      <c r="E151" s="991">
        <v>0</v>
      </c>
      <c r="F151" s="991">
        <v>0</v>
      </c>
      <c r="G151" s="991">
        <v>0</v>
      </c>
      <c r="H151" s="991">
        <v>0</v>
      </c>
      <c r="I151" s="991" t="s">
        <v>92</v>
      </c>
    </row>
    <row r="152">
      <c r="D152" s="991" t="s">
        <v>235</v>
      </c>
      <c r="E152" s="991">
        <v>0</v>
      </c>
      <c r="F152" s="991">
        <v>0</v>
      </c>
      <c r="G152" s="991">
        <v>0</v>
      </c>
      <c r="H152" s="991">
        <v>0</v>
      </c>
      <c r="I152" s="991" t="s">
        <v>90</v>
      </c>
    </row>
    <row r="153">
      <c r="D153" s="991" t="s">
        <v>236</v>
      </c>
      <c r="E153" s="991">
        <v>0</v>
      </c>
      <c r="F153" s="991">
        <v>0</v>
      </c>
      <c r="G153" s="991">
        <v>0</v>
      </c>
      <c r="H153" s="991">
        <v>0</v>
      </c>
      <c r="I153" s="991" t="s">
        <v>90</v>
      </c>
    </row>
    <row r="154">
      <c r="D154" s="991" t="s">
        <v>237</v>
      </c>
      <c r="E154" s="991">
        <v>0</v>
      </c>
      <c r="F154" s="991">
        <v>0</v>
      </c>
      <c r="G154" s="991">
        <v>0</v>
      </c>
      <c r="H154" s="991">
        <v>0</v>
      </c>
      <c r="I154" s="991" t="s">
        <v>92</v>
      </c>
    </row>
    <row r="155">
      <c r="D155" s="991" t="s">
        <v>238</v>
      </c>
      <c r="E155" s="991">
        <v>0</v>
      </c>
      <c r="F155" s="991">
        <v>0</v>
      </c>
      <c r="G155" s="991">
        <v>0</v>
      </c>
      <c r="H155" s="991">
        <v>0</v>
      </c>
      <c r="I155" s="991" t="s">
        <v>92</v>
      </c>
    </row>
    <row r="156">
      <c r="D156" s="991" t="s">
        <v>239</v>
      </c>
      <c r="E156" s="991">
        <v>0</v>
      </c>
      <c r="F156" s="991">
        <v>0</v>
      </c>
      <c r="G156" s="991">
        <v>0</v>
      </c>
      <c r="H156" s="991">
        <v>0</v>
      </c>
      <c r="I156" s="991" t="s">
        <v>92</v>
      </c>
    </row>
    <row r="157">
      <c r="D157" s="991" t="s">
        <v>240</v>
      </c>
      <c r="E157" s="991">
        <v>0</v>
      </c>
      <c r="F157" s="991">
        <v>0</v>
      </c>
      <c r="G157" s="991">
        <v>0</v>
      </c>
      <c r="H157" s="991">
        <v>0</v>
      </c>
      <c r="I157" s="991" t="s">
        <v>90</v>
      </c>
    </row>
    <row r="158">
      <c r="D158" s="991" t="s">
        <v>241</v>
      </c>
      <c r="E158" s="991">
        <v>0</v>
      </c>
      <c r="F158" s="991">
        <v>0</v>
      </c>
      <c r="G158" s="991">
        <v>0</v>
      </c>
      <c r="H158" s="991">
        <v>0</v>
      </c>
      <c r="I158" s="991" t="s">
        <v>136</v>
      </c>
    </row>
    <row r="159">
      <c r="D159" s="991" t="s">
        <v>242</v>
      </c>
      <c r="E159" s="991">
        <v>0</v>
      </c>
      <c r="F159" s="991">
        <v>0</v>
      </c>
      <c r="G159" s="991">
        <v>0</v>
      </c>
      <c r="H159" s="991">
        <v>0</v>
      </c>
      <c r="I159" s="991" t="s">
        <v>136</v>
      </c>
    </row>
    <row r="160">
      <c r="D160" s="991" t="s">
        <v>243</v>
      </c>
      <c r="E160" s="991">
        <v>0</v>
      </c>
      <c r="F160" s="991">
        <v>0</v>
      </c>
      <c r="G160" s="991">
        <v>0</v>
      </c>
      <c r="H160" s="991">
        <v>0</v>
      </c>
      <c r="I160" s="991" t="s">
        <v>136</v>
      </c>
    </row>
    <row r="161">
      <c r="D161" s="991" t="s">
        <v>244</v>
      </c>
      <c r="E161" s="991">
        <v>0</v>
      </c>
      <c r="F161" s="991">
        <v>0</v>
      </c>
      <c r="G161" s="991">
        <v>0</v>
      </c>
      <c r="H161" s="991">
        <v>0</v>
      </c>
      <c r="I161" s="991" t="s">
        <v>136</v>
      </c>
    </row>
    <row r="162">
      <c r="D162" s="991" t="s">
        <v>245</v>
      </c>
      <c r="E162" s="991">
        <v>0</v>
      </c>
      <c r="F162" s="991">
        <v>0</v>
      </c>
      <c r="G162" s="991">
        <v>0</v>
      </c>
      <c r="H162" s="991">
        <v>0</v>
      </c>
      <c r="I162" s="991" t="s">
        <v>90</v>
      </c>
    </row>
    <row r="163">
      <c r="D163" s="991" t="s">
        <v>246</v>
      </c>
      <c r="E163" s="991">
        <v>0</v>
      </c>
      <c r="F163" s="991">
        <v>0</v>
      </c>
      <c r="G163" s="991">
        <v>0</v>
      </c>
      <c r="H163" s="991">
        <v>0</v>
      </c>
      <c r="I163" s="991" t="s">
        <v>92</v>
      </c>
    </row>
    <row r="164">
      <c r="D164" s="991" t="s">
        <v>247</v>
      </c>
      <c r="E164" s="991">
        <v>0</v>
      </c>
      <c r="F164" s="991">
        <v>0</v>
      </c>
      <c r="G164" s="991">
        <v>0</v>
      </c>
      <c r="H164" s="991">
        <v>0</v>
      </c>
      <c r="I164" s="991" t="s">
        <v>90</v>
      </c>
    </row>
    <row r="165">
      <c r="D165" s="991" t="s">
        <v>248</v>
      </c>
      <c r="E165" s="991">
        <v>0</v>
      </c>
      <c r="F165" s="991">
        <v>0</v>
      </c>
      <c r="G165" s="991">
        <v>0</v>
      </c>
      <c r="H165" s="991">
        <v>0</v>
      </c>
      <c r="I165" s="991" t="s">
        <v>90</v>
      </c>
    </row>
    <row r="166">
      <c r="D166" s="991" t="s">
        <v>249</v>
      </c>
      <c r="E166" s="991">
        <v>0</v>
      </c>
      <c r="F166" s="991">
        <v>0</v>
      </c>
      <c r="G166" s="991">
        <v>0</v>
      </c>
      <c r="H166" s="991">
        <v>0</v>
      </c>
      <c r="I166" s="991" t="s">
        <v>250</v>
      </c>
    </row>
    <row r="167">
      <c r="D167" s="991" t="s">
        <v>251</v>
      </c>
      <c r="E167" s="991">
        <v>0</v>
      </c>
      <c r="F167" s="991">
        <v>0</v>
      </c>
      <c r="G167" s="991">
        <v>0</v>
      </c>
      <c r="H167" s="991">
        <v>0</v>
      </c>
      <c r="I167" s="991" t="s">
        <v>250</v>
      </c>
    </row>
    <row r="168">
      <c r="D168" s="991" t="s">
        <v>252</v>
      </c>
      <c r="E168" s="991">
        <v>-4</v>
      </c>
      <c r="F168" s="991">
        <v>0</v>
      </c>
      <c r="G168" s="991">
        <v>1</v>
      </c>
      <c r="H168" s="991">
        <v>-5</v>
      </c>
      <c r="I168" s="991" t="s">
        <v>250</v>
      </c>
    </row>
    <row r="169">
      <c r="D169" s="991" t="s">
        <v>253</v>
      </c>
      <c r="E169" s="991">
        <v>0</v>
      </c>
      <c r="F169" s="991">
        <v>0</v>
      </c>
      <c r="G169" s="991">
        <v>0</v>
      </c>
      <c r="H169" s="991">
        <v>0</v>
      </c>
      <c r="I169" s="991" t="s">
        <v>250</v>
      </c>
    </row>
    <row r="170">
      <c r="D170" s="991" t="s">
        <v>254</v>
      </c>
      <c r="E170" s="991">
        <v>0</v>
      </c>
      <c r="F170" s="991">
        <v>0</v>
      </c>
      <c r="G170" s="991">
        <v>0</v>
      </c>
      <c r="H170" s="991">
        <v>0</v>
      </c>
      <c r="I170" s="991" t="s">
        <v>250</v>
      </c>
    </row>
    <row r="171">
      <c r="D171" s="991" t="s">
        <v>255</v>
      </c>
      <c r="E171" s="991">
        <v>0</v>
      </c>
      <c r="F171" s="991">
        <v>0</v>
      </c>
      <c r="G171" s="991">
        <v>0</v>
      </c>
      <c r="H171" s="991">
        <v>0</v>
      </c>
      <c r="I171" s="991" t="s">
        <v>250</v>
      </c>
    </row>
    <row r="172">
      <c r="D172" s="991" t="s">
        <v>256</v>
      </c>
      <c r="E172" s="991">
        <v>0</v>
      </c>
      <c r="F172" s="991">
        <v>0</v>
      </c>
      <c r="G172" s="991">
        <v>0</v>
      </c>
      <c r="H172" s="991">
        <v>0</v>
      </c>
      <c r="I172" s="991" t="s">
        <v>250</v>
      </c>
    </row>
    <row r="173">
      <c r="D173" s="991" t="s">
        <v>257</v>
      </c>
      <c r="E173" s="991">
        <v>0</v>
      </c>
      <c r="F173" s="991">
        <v>0</v>
      </c>
      <c r="G173" s="991">
        <v>0</v>
      </c>
      <c r="H173" s="991">
        <v>0</v>
      </c>
      <c r="I173" s="991" t="s">
        <v>250</v>
      </c>
    </row>
    <row r="174">
      <c r="D174" s="991" t="s">
        <v>258</v>
      </c>
      <c r="E174" s="991">
        <v>0</v>
      </c>
      <c r="F174" s="991">
        <v>0</v>
      </c>
      <c r="G174" s="991">
        <v>0</v>
      </c>
      <c r="H174" s="991">
        <v>0</v>
      </c>
      <c r="I174" s="991" t="s">
        <v>250</v>
      </c>
    </row>
    <row r="175">
      <c r="D175" s="991" t="s">
        <v>259</v>
      </c>
      <c r="E175" s="991">
        <v>0</v>
      </c>
      <c r="F175" s="991">
        <v>0</v>
      </c>
      <c r="G175" s="991">
        <v>0</v>
      </c>
      <c r="H175" s="991">
        <v>0</v>
      </c>
      <c r="I175" s="991" t="s">
        <v>90</v>
      </c>
    </row>
    <row r="176">
      <c r="D176" s="991" t="s">
        <v>260</v>
      </c>
      <c r="E176" s="991">
        <v>0</v>
      </c>
      <c r="F176" s="991">
        <v>0</v>
      </c>
      <c r="G176" s="991">
        <v>0</v>
      </c>
      <c r="H176" s="991">
        <v>0</v>
      </c>
      <c r="I176" s="991" t="s">
        <v>90</v>
      </c>
    </row>
    <row r="177">
      <c r="D177" s="991" t="s">
        <v>261</v>
      </c>
      <c r="E177" s="991">
        <v>0</v>
      </c>
      <c r="F177" s="991">
        <v>0</v>
      </c>
      <c r="G177" s="991">
        <v>0</v>
      </c>
      <c r="H177" s="991">
        <v>0</v>
      </c>
      <c r="I177" s="991" t="s">
        <v>90</v>
      </c>
    </row>
    <row r="178">
      <c r="D178" s="991" t="s">
        <v>262</v>
      </c>
      <c r="E178" s="991">
        <v>0</v>
      </c>
      <c r="F178" s="991">
        <v>0</v>
      </c>
      <c r="G178" s="991">
        <v>0</v>
      </c>
      <c r="H178" s="991">
        <v>0</v>
      </c>
      <c r="I178" s="991" t="s">
        <v>90</v>
      </c>
    </row>
    <row r="179">
      <c r="D179" s="991" t="s">
        <v>263</v>
      </c>
      <c r="E179" s="991">
        <v>0</v>
      </c>
      <c r="F179" s="991">
        <v>0</v>
      </c>
      <c r="G179" s="991">
        <v>0</v>
      </c>
      <c r="H179" s="991">
        <v>0</v>
      </c>
      <c r="I179" s="991" t="s">
        <v>250</v>
      </c>
    </row>
    <row r="180">
      <c r="D180" s="991" t="s">
        <v>264</v>
      </c>
      <c r="E180" s="991">
        <v>0</v>
      </c>
      <c r="F180" s="991">
        <v>0</v>
      </c>
      <c r="G180" s="991">
        <v>0</v>
      </c>
      <c r="H180" s="991">
        <v>0</v>
      </c>
      <c r="I180" s="991" t="s">
        <v>250</v>
      </c>
    </row>
    <row r="181">
      <c r="D181" s="991" t="s">
        <v>265</v>
      </c>
      <c r="E181" s="991">
        <v>0</v>
      </c>
      <c r="F181" s="991">
        <v>0</v>
      </c>
      <c r="G181" s="991">
        <v>0</v>
      </c>
      <c r="H181" s="991">
        <v>0</v>
      </c>
      <c r="I181" s="991" t="s">
        <v>250</v>
      </c>
    </row>
    <row r="182">
      <c r="D182" s="991" t="s">
        <v>266</v>
      </c>
      <c r="E182" s="991">
        <v>0</v>
      </c>
      <c r="F182" s="991">
        <v>0</v>
      </c>
      <c r="G182" s="991">
        <v>0</v>
      </c>
      <c r="H182" s="991">
        <v>0</v>
      </c>
      <c r="I182" s="991" t="s">
        <v>250</v>
      </c>
    </row>
    <row r="183">
      <c r="D183" s="991" t="s">
        <v>267</v>
      </c>
      <c r="E183" s="991">
        <v>0</v>
      </c>
      <c r="F183" s="991">
        <v>0</v>
      </c>
      <c r="G183" s="991">
        <v>0</v>
      </c>
      <c r="H183" s="991">
        <v>0</v>
      </c>
      <c r="I183" s="991" t="s">
        <v>250</v>
      </c>
    </row>
    <row r="184">
      <c r="D184" s="991" t="s">
        <v>268</v>
      </c>
      <c r="E184" s="991">
        <v>0</v>
      </c>
      <c r="F184" s="991">
        <v>0</v>
      </c>
      <c r="G184" s="991">
        <v>0</v>
      </c>
      <c r="H184" s="991">
        <v>0</v>
      </c>
      <c r="I184" s="991" t="s">
        <v>250</v>
      </c>
    </row>
    <row r="185">
      <c r="D185" s="991" t="s">
        <v>269</v>
      </c>
      <c r="E185" s="991">
        <v>0</v>
      </c>
      <c r="F185" s="991">
        <v>0</v>
      </c>
      <c r="G185" s="991">
        <v>0</v>
      </c>
      <c r="H185" s="991">
        <v>0</v>
      </c>
      <c r="I185" s="991" t="s">
        <v>250</v>
      </c>
    </row>
    <row r="186">
      <c r="D186" s="991" t="s">
        <v>270</v>
      </c>
      <c r="E186" s="991">
        <v>0</v>
      </c>
      <c r="F186" s="991">
        <v>0</v>
      </c>
      <c r="G186" s="991">
        <v>0</v>
      </c>
      <c r="H186" s="991">
        <v>0</v>
      </c>
      <c r="I186" s="991" t="s">
        <v>250</v>
      </c>
    </row>
    <row r="187">
      <c r="D187" s="991" t="s">
        <v>271</v>
      </c>
      <c r="E187" s="991">
        <v>0</v>
      </c>
      <c r="F187" s="991">
        <v>0</v>
      </c>
      <c r="G187" s="991">
        <v>0</v>
      </c>
      <c r="H187" s="991">
        <v>0</v>
      </c>
      <c r="I187" s="991" t="s">
        <v>250</v>
      </c>
    </row>
    <row r="188">
      <c r="D188" s="991" t="s">
        <v>272</v>
      </c>
      <c r="E188" s="991">
        <v>0</v>
      </c>
      <c r="F188" s="991">
        <v>0</v>
      </c>
      <c r="G188" s="991">
        <v>0</v>
      </c>
      <c r="H188" s="991">
        <v>0</v>
      </c>
      <c r="I188" s="991" t="s">
        <v>250</v>
      </c>
    </row>
    <row r="189">
      <c r="D189" s="991" t="s">
        <v>273</v>
      </c>
      <c r="E189" s="991">
        <v>0</v>
      </c>
      <c r="F189" s="991">
        <v>0</v>
      </c>
      <c r="G189" s="991">
        <v>0</v>
      </c>
      <c r="H189" s="991">
        <v>0</v>
      </c>
      <c r="I189" s="991" t="s">
        <v>250</v>
      </c>
    </row>
    <row r="190">
      <c r="D190" s="991" t="s">
        <v>274</v>
      </c>
      <c r="E190" s="991">
        <v>0</v>
      </c>
      <c r="F190" s="991">
        <v>0</v>
      </c>
      <c r="G190" s="991">
        <v>0</v>
      </c>
      <c r="H190" s="991">
        <v>0</v>
      </c>
      <c r="I190" s="991" t="s">
        <v>250</v>
      </c>
    </row>
    <row r="191">
      <c r="D191" s="991" t="s">
        <v>275</v>
      </c>
      <c r="E191" s="991">
        <v>0</v>
      </c>
      <c r="F191" s="991">
        <v>0</v>
      </c>
      <c r="G191" s="991">
        <v>0</v>
      </c>
      <c r="H191" s="991">
        <v>0</v>
      </c>
      <c r="I191" s="991" t="s">
        <v>136</v>
      </c>
    </row>
    <row r="192">
      <c r="D192" s="991" t="s">
        <v>276</v>
      </c>
      <c r="E192" s="991">
        <v>0</v>
      </c>
      <c r="F192" s="991">
        <v>0</v>
      </c>
      <c r="G192" s="991">
        <v>0</v>
      </c>
      <c r="H192" s="991">
        <v>0</v>
      </c>
      <c r="I192" s="991" t="s">
        <v>136</v>
      </c>
    </row>
    <row r="193">
      <c r="D193" s="991" t="s">
        <v>277</v>
      </c>
      <c r="E193" s="991">
        <v>0</v>
      </c>
      <c r="F193" s="991">
        <v>0</v>
      </c>
      <c r="G193" s="991">
        <v>0</v>
      </c>
      <c r="H193" s="991">
        <v>0</v>
      </c>
      <c r="I193" s="991" t="s">
        <v>136</v>
      </c>
    </row>
    <row r="194">
      <c r="D194" s="991" t="s">
        <v>278</v>
      </c>
      <c r="E194" s="991">
        <v>0</v>
      </c>
      <c r="F194" s="991">
        <v>0</v>
      </c>
      <c r="G194" s="991">
        <v>0</v>
      </c>
      <c r="H194" s="991">
        <v>0</v>
      </c>
      <c r="I194" s="991" t="s">
        <v>136</v>
      </c>
    </row>
    <row r="195">
      <c r="D195" s="991" t="s">
        <v>279</v>
      </c>
      <c r="E195" s="991">
        <v>0</v>
      </c>
      <c r="F195" s="991">
        <v>0</v>
      </c>
      <c r="G195" s="991">
        <v>0</v>
      </c>
      <c r="H195" s="991">
        <v>0</v>
      </c>
      <c r="I195" s="991" t="s">
        <v>136</v>
      </c>
    </row>
    <row r="196">
      <c r="D196" s="991" t="s">
        <v>280</v>
      </c>
      <c r="E196" s="991">
        <v>0</v>
      </c>
      <c r="F196" s="991">
        <v>0</v>
      </c>
      <c r="G196" s="991">
        <v>0</v>
      </c>
      <c r="H196" s="991">
        <v>0</v>
      </c>
      <c r="I196" s="991" t="s">
        <v>136</v>
      </c>
    </row>
    <row r="197">
      <c r="D197" s="991" t="s">
        <v>281</v>
      </c>
      <c r="E197" s="991">
        <v>0</v>
      </c>
      <c r="F197" s="991">
        <v>0</v>
      </c>
      <c r="G197" s="991">
        <v>0</v>
      </c>
      <c r="H197" s="991">
        <v>0</v>
      </c>
      <c r="I197" s="991" t="s">
        <v>136</v>
      </c>
    </row>
    <row r="198">
      <c r="D198" s="991" t="s">
        <v>282</v>
      </c>
      <c r="E198" s="991">
        <v>0</v>
      </c>
      <c r="F198" s="991">
        <v>0</v>
      </c>
      <c r="G198" s="991">
        <v>0</v>
      </c>
      <c r="H198" s="991">
        <v>0</v>
      </c>
      <c r="I198" s="991" t="s">
        <v>136</v>
      </c>
    </row>
    <row r="199">
      <c r="D199" s="991" t="s">
        <v>283</v>
      </c>
      <c r="E199" s="991">
        <v>0</v>
      </c>
      <c r="F199" s="991">
        <v>0</v>
      </c>
      <c r="G199" s="991">
        <v>0</v>
      </c>
      <c r="H199" s="991">
        <v>0</v>
      </c>
      <c r="I199" s="991" t="s">
        <v>136</v>
      </c>
    </row>
    <row r="200">
      <c r="D200" s="991" t="s">
        <v>284</v>
      </c>
      <c r="E200" s="991">
        <v>0</v>
      </c>
      <c r="F200" s="991">
        <v>0</v>
      </c>
      <c r="G200" s="991">
        <v>0</v>
      </c>
      <c r="H200" s="991">
        <v>0</v>
      </c>
      <c r="I200" s="991" t="s">
        <v>136</v>
      </c>
    </row>
    <row r="201">
      <c r="D201" s="991" t="s">
        <v>285</v>
      </c>
      <c r="E201" s="991">
        <v>0</v>
      </c>
      <c r="F201" s="991">
        <v>0</v>
      </c>
      <c r="G201" s="991">
        <v>0</v>
      </c>
      <c r="H201" s="991">
        <v>0</v>
      </c>
      <c r="I201" s="991" t="s">
        <v>136</v>
      </c>
    </row>
    <row r="202">
      <c r="D202" s="991" t="s">
        <v>286</v>
      </c>
      <c r="E202" s="991">
        <v>0</v>
      </c>
      <c r="F202" s="991">
        <v>0</v>
      </c>
      <c r="G202" s="991">
        <v>0</v>
      </c>
      <c r="H202" s="991">
        <v>0</v>
      </c>
      <c r="I202" s="991" t="s">
        <v>136</v>
      </c>
    </row>
    <row r="203">
      <c r="D203" s="991" t="s">
        <v>287</v>
      </c>
      <c r="E203" s="991">
        <v>0</v>
      </c>
      <c r="F203" s="991">
        <v>0</v>
      </c>
      <c r="G203" s="991">
        <v>0</v>
      </c>
      <c r="H203" s="991">
        <v>0</v>
      </c>
      <c r="I203" s="991" t="s">
        <v>136</v>
      </c>
    </row>
    <row r="204">
      <c r="D204" s="991" t="s">
        <v>288</v>
      </c>
      <c r="E204" s="991">
        <v>0</v>
      </c>
      <c r="F204" s="991">
        <v>0</v>
      </c>
      <c r="G204" s="991">
        <v>0</v>
      </c>
      <c r="H204" s="991">
        <v>0</v>
      </c>
      <c r="I204" s="991" t="s">
        <v>136</v>
      </c>
    </row>
    <row r="205">
      <c r="D205" s="991" t="s">
        <v>289</v>
      </c>
      <c r="E205" s="991">
        <v>0</v>
      </c>
      <c r="F205" s="991">
        <v>0</v>
      </c>
      <c r="G205" s="991">
        <v>0</v>
      </c>
      <c r="H205" s="991">
        <v>0</v>
      </c>
      <c r="I205" s="991" t="s">
        <v>136</v>
      </c>
    </row>
    <row r="206">
      <c r="D206" s="991" t="s">
        <v>290</v>
      </c>
      <c r="E206" s="991">
        <v>0</v>
      </c>
      <c r="F206" s="991">
        <v>0</v>
      </c>
      <c r="G206" s="991">
        <v>0</v>
      </c>
      <c r="H206" s="991">
        <v>0</v>
      </c>
      <c r="I206" s="991" t="s">
        <v>136</v>
      </c>
    </row>
    <row r="207">
      <c r="D207" s="991" t="s">
        <v>291</v>
      </c>
      <c r="E207" s="991">
        <v>0</v>
      </c>
      <c r="F207" s="991">
        <v>0</v>
      </c>
      <c r="G207" s="991">
        <v>0</v>
      </c>
      <c r="H207" s="991">
        <v>0</v>
      </c>
      <c r="I207" s="991" t="s">
        <v>136</v>
      </c>
    </row>
    <row r="208">
      <c r="D208" s="991" t="s">
        <v>292</v>
      </c>
      <c r="E208" s="991">
        <v>0</v>
      </c>
      <c r="F208" s="991">
        <v>0</v>
      </c>
      <c r="G208" s="991">
        <v>0</v>
      </c>
      <c r="H208" s="991">
        <v>0</v>
      </c>
      <c r="I208" s="991" t="s">
        <v>136</v>
      </c>
    </row>
    <row r="209">
      <c r="D209" s="991" t="s">
        <v>293</v>
      </c>
      <c r="E209" s="991">
        <v>0</v>
      </c>
      <c r="F209" s="991">
        <v>0</v>
      </c>
      <c r="G209" s="991">
        <v>0</v>
      </c>
      <c r="H209" s="991">
        <v>0</v>
      </c>
      <c r="I209" s="991" t="s">
        <v>136</v>
      </c>
    </row>
    <row r="210">
      <c r="D210" s="991" t="s">
        <v>294</v>
      </c>
      <c r="E210" s="991">
        <v>0</v>
      </c>
      <c r="F210" s="991">
        <v>0</v>
      </c>
      <c r="G210" s="991">
        <v>0</v>
      </c>
      <c r="H210" s="991">
        <v>0</v>
      </c>
      <c r="I210" s="991" t="s">
        <v>136</v>
      </c>
    </row>
    <row r="211">
      <c r="D211" s="991" t="s">
        <v>295</v>
      </c>
      <c r="E211" s="991">
        <v>0</v>
      </c>
      <c r="F211" s="991">
        <v>0</v>
      </c>
      <c r="G211" s="991">
        <v>0</v>
      </c>
      <c r="H211" s="991">
        <v>0</v>
      </c>
      <c r="I211" s="991" t="s">
        <v>136</v>
      </c>
    </row>
    <row r="212">
      <c r="D212" s="991" t="s">
        <v>296</v>
      </c>
      <c r="E212" s="991">
        <v>0</v>
      </c>
      <c r="F212" s="991">
        <v>0</v>
      </c>
      <c r="G212" s="991">
        <v>0</v>
      </c>
      <c r="H212" s="991">
        <v>0</v>
      </c>
      <c r="I212" s="991" t="s">
        <v>136</v>
      </c>
    </row>
    <row r="213">
      <c r="D213" s="991" t="s">
        <v>297</v>
      </c>
      <c r="E213" s="991">
        <v>0</v>
      </c>
      <c r="F213" s="991">
        <v>0</v>
      </c>
      <c r="G213" s="991">
        <v>0</v>
      </c>
      <c r="H213" s="991">
        <v>0</v>
      </c>
      <c r="I213" s="991" t="s">
        <v>92</v>
      </c>
    </row>
    <row r="214">
      <c r="D214" s="991" t="s">
        <v>298</v>
      </c>
      <c r="E214" s="991">
        <v>0</v>
      </c>
      <c r="F214" s="991">
        <v>0</v>
      </c>
      <c r="G214" s="991">
        <v>0</v>
      </c>
      <c r="H214" s="991">
        <v>0</v>
      </c>
      <c r="I214" s="991" t="s">
        <v>92</v>
      </c>
    </row>
    <row r="215">
      <c r="D215" s="991" t="s">
        <v>299</v>
      </c>
      <c r="E215" s="991">
        <v>0</v>
      </c>
      <c r="F215" s="991">
        <v>0</v>
      </c>
      <c r="G215" s="991">
        <v>0</v>
      </c>
      <c r="H215" s="991">
        <v>0</v>
      </c>
      <c r="I215" s="991" t="s">
        <v>92</v>
      </c>
    </row>
    <row r="216">
      <c r="D216" s="991" t="s">
        <v>300</v>
      </c>
      <c r="E216" s="991">
        <v>0</v>
      </c>
      <c r="F216" s="991">
        <v>0</v>
      </c>
      <c r="G216" s="991">
        <v>0</v>
      </c>
      <c r="H216" s="991">
        <v>0</v>
      </c>
      <c r="I216" s="991" t="s">
        <v>92</v>
      </c>
    </row>
    <row r="217">
      <c r="D217" s="991" t="s">
        <v>301</v>
      </c>
      <c r="E217" s="991">
        <v>0</v>
      </c>
      <c r="F217" s="991">
        <v>0</v>
      </c>
      <c r="G217" s="991">
        <v>0</v>
      </c>
      <c r="H217" s="991">
        <v>0</v>
      </c>
      <c r="I217" s="991" t="s">
        <v>92</v>
      </c>
    </row>
    <row r="218">
      <c r="D218" s="991" t="s">
        <v>302</v>
      </c>
      <c r="E218" s="991">
        <v>0</v>
      </c>
      <c r="F218" s="991">
        <v>0</v>
      </c>
      <c r="G218" s="991">
        <v>0</v>
      </c>
      <c r="H218" s="991">
        <v>0</v>
      </c>
      <c r="I218" s="991" t="s">
        <v>92</v>
      </c>
    </row>
    <row r="219">
      <c r="D219" s="991" t="s">
        <v>303</v>
      </c>
      <c r="E219" s="991">
        <v>0</v>
      </c>
      <c r="F219" s="991">
        <v>0</v>
      </c>
      <c r="G219" s="991">
        <v>0</v>
      </c>
      <c r="H219" s="991">
        <v>0</v>
      </c>
      <c r="I219" s="991" t="s">
        <v>92</v>
      </c>
    </row>
    <row r="220">
      <c r="D220" s="991" t="s">
        <v>304</v>
      </c>
      <c r="E220" s="991">
        <v>0</v>
      </c>
      <c r="F220" s="991">
        <v>0</v>
      </c>
      <c r="G220" s="991">
        <v>0</v>
      </c>
      <c r="H220" s="991">
        <v>0</v>
      </c>
      <c r="I220" s="991" t="s">
        <v>92</v>
      </c>
    </row>
    <row r="221">
      <c r="D221" s="991" t="s">
        <v>305</v>
      </c>
      <c r="E221" s="991">
        <v>0</v>
      </c>
      <c r="F221" s="991">
        <v>0</v>
      </c>
      <c r="G221" s="991">
        <v>0</v>
      </c>
      <c r="H221" s="991">
        <v>0</v>
      </c>
      <c r="I221" s="991" t="s">
        <v>92</v>
      </c>
    </row>
    <row r="222">
      <c r="D222" s="991" t="s">
        <v>306</v>
      </c>
      <c r="E222" s="991">
        <v>0</v>
      </c>
      <c r="F222" s="991">
        <v>0</v>
      </c>
      <c r="G222" s="991">
        <v>0</v>
      </c>
      <c r="H222" s="991">
        <v>0</v>
      </c>
      <c r="I222" s="991" t="s">
        <v>92</v>
      </c>
    </row>
    <row r="223">
      <c r="D223" s="991" t="s">
        <v>307</v>
      </c>
      <c r="E223" s="991">
        <v>0</v>
      </c>
      <c r="F223" s="991">
        <v>0</v>
      </c>
      <c r="G223" s="991">
        <v>0</v>
      </c>
      <c r="H223" s="991">
        <v>0</v>
      </c>
      <c r="I223" s="991" t="s">
        <v>92</v>
      </c>
    </row>
    <row r="224">
      <c r="D224" s="991" t="s">
        <v>308</v>
      </c>
      <c r="E224" s="991">
        <v>0</v>
      </c>
      <c r="F224" s="991">
        <v>0</v>
      </c>
      <c r="G224" s="991">
        <v>0</v>
      </c>
      <c r="H224" s="991">
        <v>0</v>
      </c>
      <c r="I224" s="991" t="s">
        <v>90</v>
      </c>
    </row>
    <row r="225">
      <c r="D225" s="991" t="s">
        <v>309</v>
      </c>
      <c r="E225" s="991">
        <v>0</v>
      </c>
      <c r="F225" s="991">
        <v>0</v>
      </c>
      <c r="G225" s="991">
        <v>0</v>
      </c>
      <c r="H225" s="991">
        <v>0</v>
      </c>
      <c r="I225" s="991" t="s">
        <v>92</v>
      </c>
    </row>
    <row r="226">
      <c r="D226" s="991" t="s">
        <v>310</v>
      </c>
      <c r="E226" s="991">
        <v>0</v>
      </c>
      <c r="F226" s="991">
        <v>0</v>
      </c>
      <c r="G226" s="991">
        <v>0</v>
      </c>
      <c r="H226" s="991">
        <v>0</v>
      </c>
      <c r="I226" s="991" t="s">
        <v>136</v>
      </c>
    </row>
    <row r="227">
      <c r="D227" s="991" t="s">
        <v>311</v>
      </c>
      <c r="E227" s="991">
        <v>0</v>
      </c>
      <c r="F227" s="991">
        <v>0</v>
      </c>
      <c r="G227" s="991">
        <v>0</v>
      </c>
      <c r="H227" s="991">
        <v>0</v>
      </c>
      <c r="I227" s="991" t="s">
        <v>92</v>
      </c>
    </row>
    <row r="228">
      <c r="D228" s="991" t="s">
        <v>312</v>
      </c>
      <c r="E228" s="991">
        <v>0</v>
      </c>
      <c r="F228" s="991">
        <v>0</v>
      </c>
      <c r="G228" s="991">
        <v>0</v>
      </c>
      <c r="H228" s="991">
        <v>0</v>
      </c>
      <c r="I228" s="991" t="s">
        <v>92</v>
      </c>
    </row>
    <row r="229">
      <c r="D229" s="991" t="s">
        <v>313</v>
      </c>
      <c r="E229" s="991">
        <v>0</v>
      </c>
      <c r="F229" s="991">
        <v>0</v>
      </c>
      <c r="G229" s="991">
        <v>0</v>
      </c>
      <c r="H229" s="991">
        <v>0</v>
      </c>
      <c r="I229" s="991" t="s">
        <v>92</v>
      </c>
    </row>
    <row r="230">
      <c r="D230" s="991" t="s">
        <v>314</v>
      </c>
      <c r="E230" s="991">
        <v>0</v>
      </c>
      <c r="F230" s="991">
        <v>0</v>
      </c>
      <c r="G230" s="991">
        <v>0</v>
      </c>
      <c r="H230" s="991">
        <v>0</v>
      </c>
      <c r="I230" s="991" t="s">
        <v>92</v>
      </c>
    </row>
    <row r="231">
      <c r="D231" s="991" t="s">
        <v>315</v>
      </c>
      <c r="E231" s="991">
        <v>0</v>
      </c>
      <c r="F231" s="991">
        <v>0</v>
      </c>
      <c r="G231" s="991">
        <v>0</v>
      </c>
      <c r="H231" s="991">
        <v>0</v>
      </c>
      <c r="I231" s="991" t="s">
        <v>92</v>
      </c>
    </row>
    <row r="232">
      <c r="D232" s="991" t="s">
        <v>316</v>
      </c>
      <c r="E232" s="991">
        <v>0</v>
      </c>
      <c r="F232" s="991">
        <v>0</v>
      </c>
      <c r="G232" s="991">
        <v>0</v>
      </c>
      <c r="H232" s="991">
        <v>0</v>
      </c>
      <c r="I232" s="991" t="s">
        <v>92</v>
      </c>
    </row>
    <row r="233">
      <c r="D233" s="991" t="s">
        <v>317</v>
      </c>
      <c r="E233" s="991">
        <v>0</v>
      </c>
      <c r="F233" s="991">
        <v>0</v>
      </c>
      <c r="G233" s="991">
        <v>0</v>
      </c>
      <c r="H233" s="991">
        <v>0</v>
      </c>
      <c r="I233" s="991" t="s">
        <v>92</v>
      </c>
    </row>
    <row r="234">
      <c r="D234" s="991" t="s">
        <v>318</v>
      </c>
      <c r="E234" s="991">
        <v>0</v>
      </c>
      <c r="F234" s="991">
        <v>0</v>
      </c>
      <c r="G234" s="991">
        <v>0</v>
      </c>
      <c r="H234" s="991">
        <v>0</v>
      </c>
      <c r="I234" s="991" t="s">
        <v>92</v>
      </c>
    </row>
    <row r="235">
      <c r="D235" s="991" t="s">
        <v>319</v>
      </c>
      <c r="E235" s="991">
        <v>0</v>
      </c>
      <c r="F235" s="991">
        <v>0</v>
      </c>
      <c r="G235" s="991">
        <v>0</v>
      </c>
      <c r="H235" s="991">
        <v>0</v>
      </c>
      <c r="I235" s="991" t="s">
        <v>136</v>
      </c>
    </row>
    <row r="236">
      <c r="D236" s="991" t="s">
        <v>320</v>
      </c>
      <c r="E236" s="991">
        <v>0</v>
      </c>
      <c r="F236" s="991">
        <v>0</v>
      </c>
      <c r="G236" s="991">
        <v>0</v>
      </c>
      <c r="H236" s="991">
        <v>0</v>
      </c>
      <c r="I236" s="991" t="s">
        <v>92</v>
      </c>
    </row>
    <row r="237">
      <c r="D237" s="991" t="s">
        <v>321</v>
      </c>
      <c r="E237" s="991">
        <v>0</v>
      </c>
      <c r="F237" s="991">
        <v>0</v>
      </c>
      <c r="G237" s="991">
        <v>0</v>
      </c>
      <c r="H237" s="991">
        <v>0</v>
      </c>
      <c r="I237" s="991" t="s">
        <v>92</v>
      </c>
    </row>
    <row r="238">
      <c r="D238" s="991" t="s">
        <v>322</v>
      </c>
      <c r="E238" s="991">
        <v>0</v>
      </c>
      <c r="F238" s="991">
        <v>0</v>
      </c>
      <c r="G238" s="991">
        <v>0</v>
      </c>
      <c r="H238" s="991">
        <v>0</v>
      </c>
      <c r="I238" s="991" t="s">
        <v>323</v>
      </c>
    </row>
    <row r="239">
      <c r="D239" s="991" t="s">
        <v>324</v>
      </c>
      <c r="E239" s="991">
        <v>0</v>
      </c>
      <c r="F239" s="991">
        <v>0</v>
      </c>
      <c r="G239" s="991">
        <v>0</v>
      </c>
      <c r="H239" s="991">
        <v>0</v>
      </c>
      <c r="I239" s="991" t="s">
        <v>136</v>
      </c>
    </row>
    <row r="240">
      <c r="D240" s="991" t="s">
        <v>325</v>
      </c>
      <c r="E240" s="991">
        <v>0</v>
      </c>
      <c r="F240" s="991">
        <v>0</v>
      </c>
      <c r="G240" s="991">
        <v>0</v>
      </c>
      <c r="H240" s="991">
        <v>0</v>
      </c>
      <c r="I240" s="991" t="s">
        <v>136</v>
      </c>
    </row>
    <row r="241">
      <c r="D241" s="991" t="s">
        <v>326</v>
      </c>
      <c r="E241" s="991">
        <v>0</v>
      </c>
      <c r="F241" s="991">
        <v>0</v>
      </c>
      <c r="G241" s="991">
        <v>0</v>
      </c>
      <c r="H241" s="991">
        <v>0</v>
      </c>
      <c r="I241" s="991" t="s">
        <v>92</v>
      </c>
    </row>
    <row r="242">
      <c r="D242" s="991" t="s">
        <v>327</v>
      </c>
      <c r="E242" s="991">
        <v>0</v>
      </c>
      <c r="F242" s="991">
        <v>0</v>
      </c>
      <c r="G242" s="991">
        <v>0</v>
      </c>
      <c r="H242" s="991">
        <v>0</v>
      </c>
      <c r="I242" s="991" t="s">
        <v>92</v>
      </c>
    </row>
    <row r="243">
      <c r="D243" s="991" t="s">
        <v>328</v>
      </c>
      <c r="E243" s="991">
        <v>0</v>
      </c>
      <c r="F243" s="991">
        <v>0</v>
      </c>
      <c r="G243" s="991">
        <v>0</v>
      </c>
      <c r="H243" s="991">
        <v>0</v>
      </c>
      <c r="I243" s="991" t="s">
        <v>189</v>
      </c>
    </row>
    <row r="244">
      <c r="D244" s="991" t="s">
        <v>329</v>
      </c>
      <c r="E244" s="991">
        <v>0</v>
      </c>
      <c r="F244" s="991">
        <v>0</v>
      </c>
      <c r="G244" s="991">
        <v>0</v>
      </c>
      <c r="H244" s="991">
        <v>0</v>
      </c>
      <c r="I244" s="991" t="s">
        <v>90</v>
      </c>
    </row>
    <row r="245">
      <c r="D245" s="991" t="s">
        <v>116</v>
      </c>
      <c r="E245" s="991">
        <v>0</v>
      </c>
      <c r="F245" s="991">
        <v>0</v>
      </c>
      <c r="G245" s="991">
        <v>0</v>
      </c>
      <c r="H245" s="991">
        <v>0</v>
      </c>
      <c r="I245" s="991" t="s">
        <v>92</v>
      </c>
    </row>
    <row r="246">
      <c r="D246" s="991" t="s">
        <v>330</v>
      </c>
      <c r="E246" s="991">
        <v>0</v>
      </c>
      <c r="F246" s="991">
        <v>0</v>
      </c>
      <c r="G246" s="991">
        <v>0</v>
      </c>
      <c r="H246" s="991">
        <v>0</v>
      </c>
      <c r="I246" s="991" t="s">
        <v>331</v>
      </c>
    </row>
    <row r="247">
      <c r="D247" s="991" t="s">
        <v>332</v>
      </c>
      <c r="E247" s="991">
        <v>0</v>
      </c>
      <c r="F247" s="991">
        <v>0</v>
      </c>
      <c r="G247" s="991">
        <v>0</v>
      </c>
      <c r="H247" s="991">
        <v>0</v>
      </c>
      <c r="I247" s="991" t="s">
        <v>92</v>
      </c>
    </row>
    <row r="248">
      <c r="D248" s="991" t="s">
        <v>333</v>
      </c>
      <c r="E248" s="991">
        <v>0</v>
      </c>
      <c r="F248" s="991">
        <v>0</v>
      </c>
      <c r="G248" s="991">
        <v>0</v>
      </c>
      <c r="H248" s="991">
        <v>0</v>
      </c>
      <c r="I248" s="991" t="s">
        <v>92</v>
      </c>
    </row>
    <row r="249">
      <c r="D249" s="991" t="s">
        <v>334</v>
      </c>
      <c r="E249" s="991">
        <v>0</v>
      </c>
      <c r="F249" s="991">
        <v>0</v>
      </c>
      <c r="G249" s="991">
        <v>0</v>
      </c>
      <c r="H249" s="991">
        <v>0</v>
      </c>
      <c r="I249" s="991" t="s">
        <v>90</v>
      </c>
    </row>
    <row r="250">
      <c r="D250" s="991" t="s">
        <v>335</v>
      </c>
      <c r="E250" s="991">
        <v>0</v>
      </c>
      <c r="F250" s="991">
        <v>0</v>
      </c>
      <c r="G250" s="991">
        <v>0</v>
      </c>
      <c r="H250" s="991">
        <v>0</v>
      </c>
      <c r="I250" s="991" t="s">
        <v>90</v>
      </c>
    </row>
    <row r="251">
      <c r="D251" s="991" t="s">
        <v>336</v>
      </c>
      <c r="E251" s="991">
        <v>0</v>
      </c>
      <c r="F251" s="991">
        <v>0</v>
      </c>
      <c r="G251" s="991">
        <v>0</v>
      </c>
      <c r="H251" s="991">
        <v>0</v>
      </c>
      <c r="I251" s="991" t="s">
        <v>92</v>
      </c>
    </row>
    <row r="252">
      <c r="D252" s="991" t="s">
        <v>337</v>
      </c>
      <c r="E252" s="991">
        <v>0</v>
      </c>
      <c r="F252" s="991">
        <v>0</v>
      </c>
      <c r="G252" s="991">
        <v>0</v>
      </c>
      <c r="H252" s="991">
        <v>0</v>
      </c>
      <c r="I252" s="991" t="s">
        <v>92</v>
      </c>
    </row>
    <row r="253">
      <c r="D253" s="991" t="s">
        <v>338</v>
      </c>
      <c r="E253" s="991">
        <v>0</v>
      </c>
      <c r="F253" s="991">
        <v>0</v>
      </c>
      <c r="G253" s="991">
        <v>0</v>
      </c>
      <c r="H253" s="991">
        <v>0</v>
      </c>
      <c r="I253" s="991" t="s">
        <v>92</v>
      </c>
    </row>
    <row r="254">
      <c r="D254" s="991" t="s">
        <v>339</v>
      </c>
      <c r="E254" s="991">
        <v>0</v>
      </c>
      <c r="F254" s="991">
        <v>0</v>
      </c>
      <c r="G254" s="991">
        <v>0</v>
      </c>
      <c r="H254" s="991">
        <v>0</v>
      </c>
      <c r="I254" s="991" t="s">
        <v>90</v>
      </c>
    </row>
    <row r="255">
      <c r="D255" s="991" t="s">
        <v>340</v>
      </c>
      <c r="E255" s="991">
        <v>0</v>
      </c>
      <c r="F255" s="991">
        <v>0</v>
      </c>
      <c r="G255" s="991">
        <v>0</v>
      </c>
      <c r="H255" s="991">
        <v>0</v>
      </c>
      <c r="I255" s="991" t="s">
        <v>92</v>
      </c>
    </row>
    <row r="256">
      <c r="D256" s="991" t="s">
        <v>341</v>
      </c>
      <c r="E256" s="991">
        <v>0</v>
      </c>
      <c r="F256" s="991">
        <v>0</v>
      </c>
      <c r="G256" s="991">
        <v>0</v>
      </c>
      <c r="H256" s="991">
        <v>0</v>
      </c>
      <c r="I256" s="991" t="s">
        <v>90</v>
      </c>
    </row>
    <row r="257">
      <c r="D257" s="991" t="s">
        <v>342</v>
      </c>
      <c r="E257" s="991">
        <v>0</v>
      </c>
      <c r="F257" s="991">
        <v>0</v>
      </c>
      <c r="G257" s="991">
        <v>0</v>
      </c>
      <c r="H257" s="991">
        <v>0</v>
      </c>
      <c r="I257" s="991" t="s">
        <v>90</v>
      </c>
    </row>
    <row r="258">
      <c r="D258" s="991" t="s">
        <v>343</v>
      </c>
      <c r="E258" s="991">
        <v>0</v>
      </c>
      <c r="F258" s="991">
        <v>0</v>
      </c>
      <c r="G258" s="991">
        <v>0</v>
      </c>
      <c r="H258" s="991">
        <v>0</v>
      </c>
      <c r="I258" s="991" t="s">
        <v>90</v>
      </c>
    </row>
    <row r="259">
      <c r="D259" s="991" t="s">
        <v>344</v>
      </c>
      <c r="E259" s="991">
        <v>0</v>
      </c>
      <c r="F259" s="991">
        <v>0</v>
      </c>
      <c r="G259" s="991">
        <v>0</v>
      </c>
      <c r="H259" s="991">
        <v>0</v>
      </c>
      <c r="I259" s="991" t="s">
        <v>92</v>
      </c>
    </row>
    <row r="260">
      <c r="D260" s="991" t="s">
        <v>345</v>
      </c>
      <c r="E260" s="991">
        <v>0</v>
      </c>
      <c r="F260" s="991">
        <v>0</v>
      </c>
      <c r="G260" s="991">
        <v>0</v>
      </c>
      <c r="H260" s="991">
        <v>0</v>
      </c>
      <c r="I260" s="991" t="s">
        <v>92</v>
      </c>
    </row>
    <row r="261">
      <c r="D261" s="991" t="s">
        <v>346</v>
      </c>
      <c r="E261" s="991">
        <v>0</v>
      </c>
      <c r="F261" s="991">
        <v>0</v>
      </c>
      <c r="G261" s="991">
        <v>0</v>
      </c>
      <c r="H261" s="991">
        <v>0</v>
      </c>
      <c r="I261" s="991" t="s">
        <v>90</v>
      </c>
    </row>
    <row r="262">
      <c r="D262" s="991" t="s">
        <v>347</v>
      </c>
      <c r="E262" s="991">
        <v>0</v>
      </c>
      <c r="F262" s="991">
        <v>0</v>
      </c>
      <c r="G262" s="991">
        <v>0</v>
      </c>
      <c r="H262" s="991">
        <v>0</v>
      </c>
      <c r="I262" s="991" t="s">
        <v>92</v>
      </c>
    </row>
    <row r="263">
      <c r="D263" s="991" t="s">
        <v>348</v>
      </c>
      <c r="E263" s="991">
        <v>0</v>
      </c>
      <c r="F263" s="991">
        <v>0</v>
      </c>
      <c r="G263" s="991">
        <v>0</v>
      </c>
      <c r="H263" s="991">
        <v>0</v>
      </c>
      <c r="I263" s="991" t="s">
        <v>92</v>
      </c>
    </row>
    <row r="264">
      <c r="D264" s="991" t="s">
        <v>349</v>
      </c>
      <c r="E264" s="991">
        <v>0</v>
      </c>
      <c r="F264" s="991">
        <v>0</v>
      </c>
      <c r="G264" s="991">
        <v>0</v>
      </c>
      <c r="H264" s="991">
        <v>0</v>
      </c>
      <c r="I264" s="991" t="s">
        <v>92</v>
      </c>
    </row>
    <row r="265">
      <c r="D265" s="991" t="s">
        <v>350</v>
      </c>
      <c r="E265" s="991">
        <v>0</v>
      </c>
      <c r="F265" s="991">
        <v>0</v>
      </c>
      <c r="G265" s="991">
        <v>0</v>
      </c>
      <c r="H265" s="991">
        <v>0</v>
      </c>
      <c r="I265" s="991" t="s">
        <v>250</v>
      </c>
    </row>
    <row r="266">
      <c r="D266" s="991" t="s">
        <v>351</v>
      </c>
      <c r="E266" s="991">
        <v>0</v>
      </c>
      <c r="F266" s="991">
        <v>0</v>
      </c>
      <c r="G266" s="991">
        <v>0</v>
      </c>
      <c r="H266" s="991">
        <v>0</v>
      </c>
      <c r="I266" s="991" t="s">
        <v>136</v>
      </c>
    </row>
    <row r="267">
      <c r="D267" s="991" t="s">
        <v>352</v>
      </c>
      <c r="E267" s="991">
        <v>0</v>
      </c>
      <c r="F267" s="991">
        <v>0</v>
      </c>
      <c r="G267" s="991">
        <v>0</v>
      </c>
      <c r="H267" s="991">
        <v>0</v>
      </c>
      <c r="I267" s="991" t="s">
        <v>90</v>
      </c>
    </row>
    <row r="268">
      <c r="D268" s="991" t="s">
        <v>353</v>
      </c>
      <c r="E268" s="991">
        <v>0</v>
      </c>
      <c r="F268" s="991">
        <v>0</v>
      </c>
      <c r="G268" s="991">
        <v>0</v>
      </c>
      <c r="H268" s="991">
        <v>0</v>
      </c>
      <c r="I268" s="991" t="s">
        <v>92</v>
      </c>
    </row>
    <row r="269">
      <c r="D269" s="991" t="s">
        <v>354</v>
      </c>
      <c r="E269" s="991">
        <v>0</v>
      </c>
      <c r="F269" s="991">
        <v>0</v>
      </c>
      <c r="G269" s="991">
        <v>0</v>
      </c>
      <c r="H269" s="991">
        <v>0</v>
      </c>
      <c r="I269" s="991" t="s">
        <v>92</v>
      </c>
    </row>
    <row r="270">
      <c r="D270" s="991" t="s">
        <v>355</v>
      </c>
      <c r="E270" s="991">
        <v>0</v>
      </c>
      <c r="F270" s="991">
        <v>0</v>
      </c>
      <c r="G270" s="991">
        <v>0</v>
      </c>
      <c r="H270" s="991">
        <v>0</v>
      </c>
      <c r="I270" s="991" t="s">
        <v>90</v>
      </c>
    </row>
    <row r="271">
      <c r="D271" s="991" t="s">
        <v>356</v>
      </c>
      <c r="E271" s="991">
        <v>0</v>
      </c>
      <c r="F271" s="991">
        <v>0</v>
      </c>
      <c r="G271" s="991">
        <v>0</v>
      </c>
      <c r="H271" s="991">
        <v>0</v>
      </c>
      <c r="I271" s="991" t="s">
        <v>90</v>
      </c>
    </row>
    <row r="272">
      <c r="D272" s="991" t="s">
        <v>357</v>
      </c>
      <c r="E272" s="991">
        <v>0</v>
      </c>
      <c r="F272" s="991">
        <v>0</v>
      </c>
      <c r="G272" s="991">
        <v>0</v>
      </c>
      <c r="H272" s="991">
        <v>0</v>
      </c>
      <c r="I272" s="991" t="s">
        <v>90</v>
      </c>
    </row>
    <row r="273">
      <c r="D273" s="991" t="s">
        <v>358</v>
      </c>
      <c r="E273" s="991">
        <v>0</v>
      </c>
      <c r="F273" s="991">
        <v>0</v>
      </c>
      <c r="G273" s="991">
        <v>0</v>
      </c>
      <c r="H273" s="991">
        <v>0</v>
      </c>
      <c r="I273" s="991" t="s">
        <v>90</v>
      </c>
    </row>
    <row r="274">
      <c r="D274" s="991" t="s">
        <v>359</v>
      </c>
      <c r="E274" s="991">
        <v>0</v>
      </c>
      <c r="F274" s="991">
        <v>0</v>
      </c>
      <c r="G274" s="991">
        <v>0</v>
      </c>
      <c r="H274" s="991">
        <v>0</v>
      </c>
      <c r="I274" s="991" t="s">
        <v>92</v>
      </c>
    </row>
    <row r="275">
      <c r="D275" s="991" t="s">
        <v>360</v>
      </c>
      <c r="E275" s="991">
        <v>0</v>
      </c>
      <c r="F275" s="991">
        <v>0</v>
      </c>
      <c r="G275" s="991">
        <v>0</v>
      </c>
      <c r="H275" s="991">
        <v>0</v>
      </c>
      <c r="I275" s="991" t="s">
        <v>90</v>
      </c>
    </row>
    <row r="276">
      <c r="D276" s="991" t="s">
        <v>361</v>
      </c>
      <c r="E276" s="991">
        <v>0</v>
      </c>
      <c r="F276" s="991">
        <v>0</v>
      </c>
      <c r="G276" s="991">
        <v>0</v>
      </c>
      <c r="H276" s="991">
        <v>0</v>
      </c>
      <c r="I276" s="991" t="s">
        <v>92</v>
      </c>
    </row>
    <row r="277">
      <c r="D277" s="991" t="s">
        <v>362</v>
      </c>
      <c r="E277" s="991">
        <v>0</v>
      </c>
      <c r="F277" s="991">
        <v>0</v>
      </c>
      <c r="G277" s="991">
        <v>0</v>
      </c>
      <c r="H277" s="991">
        <v>0</v>
      </c>
      <c r="I277" s="991" t="s">
        <v>250</v>
      </c>
    </row>
    <row r="278">
      <c r="D278" s="991" t="s">
        <v>363</v>
      </c>
      <c r="E278" s="991">
        <v>0</v>
      </c>
      <c r="F278" s="991">
        <v>0</v>
      </c>
      <c r="G278" s="991">
        <v>0</v>
      </c>
      <c r="H278" s="991">
        <v>0</v>
      </c>
      <c r="I278" s="991" t="s">
        <v>92</v>
      </c>
    </row>
    <row r="279">
      <c r="D279" s="991" t="s">
        <v>364</v>
      </c>
      <c r="E279" s="991">
        <v>0</v>
      </c>
      <c r="F279" s="991">
        <v>0</v>
      </c>
      <c r="G279" s="991">
        <v>0</v>
      </c>
      <c r="H279" s="991">
        <v>0</v>
      </c>
      <c r="I279" s="991" t="s">
        <v>136</v>
      </c>
    </row>
    <row r="280">
      <c r="D280" s="991" t="s">
        <v>365</v>
      </c>
      <c r="E280" s="991">
        <v>0</v>
      </c>
      <c r="F280" s="991">
        <v>0</v>
      </c>
      <c r="G280" s="991">
        <v>0</v>
      </c>
      <c r="H280" s="991">
        <v>0</v>
      </c>
      <c r="I280" s="991" t="s">
        <v>92</v>
      </c>
    </row>
    <row r="281">
      <c r="D281" s="991" t="s">
        <v>366</v>
      </c>
      <c r="E281" s="991">
        <v>0</v>
      </c>
      <c r="F281" s="991">
        <v>0</v>
      </c>
      <c r="G281" s="991">
        <v>0</v>
      </c>
      <c r="H281" s="991">
        <v>0</v>
      </c>
      <c r="I281" s="991" t="s">
        <v>189</v>
      </c>
    </row>
    <row r="282">
      <c r="D282" s="991" t="s">
        <v>367</v>
      </c>
      <c r="E282" s="991">
        <v>0</v>
      </c>
      <c r="F282" s="991">
        <v>0</v>
      </c>
      <c r="G282" s="991">
        <v>0</v>
      </c>
      <c r="H282" s="991">
        <v>0</v>
      </c>
      <c r="I282" s="991" t="s">
        <v>90</v>
      </c>
    </row>
    <row r="283">
      <c r="D283" s="991" t="s">
        <v>368</v>
      </c>
      <c r="E283" s="991">
        <v>0</v>
      </c>
      <c r="F283" s="991">
        <v>0</v>
      </c>
      <c r="G283" s="991">
        <v>0</v>
      </c>
      <c r="H283" s="991">
        <v>0</v>
      </c>
      <c r="I283" s="991" t="s">
        <v>90</v>
      </c>
    </row>
    <row r="284">
      <c r="D284" s="991" t="s">
        <v>369</v>
      </c>
      <c r="E284" s="991">
        <v>0</v>
      </c>
      <c r="F284" s="991">
        <v>0</v>
      </c>
      <c r="G284" s="991">
        <v>0</v>
      </c>
      <c r="H284" s="991">
        <v>0</v>
      </c>
      <c r="I284" s="991" t="s">
        <v>90</v>
      </c>
    </row>
    <row r="285">
      <c r="D285" s="991" t="s">
        <v>370</v>
      </c>
      <c r="E285" s="991">
        <v>0</v>
      </c>
      <c r="F285" s="991">
        <v>0</v>
      </c>
      <c r="G285" s="991">
        <v>0</v>
      </c>
      <c r="H285" s="991">
        <v>0</v>
      </c>
      <c r="I285" s="991" t="s">
        <v>136</v>
      </c>
    </row>
    <row r="286">
      <c r="D286" s="991" t="s">
        <v>371</v>
      </c>
      <c r="E286" s="991">
        <v>0</v>
      </c>
      <c r="F286" s="991">
        <v>0</v>
      </c>
      <c r="G286" s="991">
        <v>0</v>
      </c>
      <c r="H286" s="991">
        <v>0</v>
      </c>
      <c r="I286" s="991" t="s">
        <v>250</v>
      </c>
    </row>
    <row r="287">
      <c r="D287" s="991" t="s">
        <v>372</v>
      </c>
      <c r="E287" s="991">
        <v>0</v>
      </c>
      <c r="F287" s="991">
        <v>0</v>
      </c>
      <c r="G287" s="991">
        <v>0</v>
      </c>
      <c r="H287" s="991">
        <v>0</v>
      </c>
      <c r="I287" s="991" t="s">
        <v>92</v>
      </c>
    </row>
    <row r="288">
      <c r="D288" s="991" t="s">
        <v>373</v>
      </c>
      <c r="E288" s="991">
        <v>0</v>
      </c>
      <c r="F288" s="991">
        <v>0</v>
      </c>
      <c r="G288" s="991">
        <v>0</v>
      </c>
      <c r="H288" s="991">
        <v>0</v>
      </c>
      <c r="I288" s="991" t="s">
        <v>92</v>
      </c>
    </row>
    <row r="289">
      <c r="D289" s="991"/>
      <c r="E289" s="991"/>
      <c r="F289" s="991"/>
      <c r="G289" s="991"/>
      <c r="H289" s="991"/>
      <c r="I289" s="991"/>
    </row>
  </sheetData>
  <mergeCells>
    <mergeCell ref="D3:I4"/>
    <mergeCell ref="D5:G5"/>
    <mergeCell ref="D6:I7"/>
  </mergeCells>
  <printOptions horizontalCentered="1"/>
  <pageMargins left="0.25" right="0.25" top="0.75" bottom="0.75" header="0.3" footer="0.3"/>
  <pageSetup scale="85" orientation="landscape"/>
  <headerFooter scaleWithDoc="0">
    <oddHeader>&amp;CTD Daily File Summary</oddHeader>
    <oddFooter>&amp;L&amp;D &amp;T&amp;RPage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K16"/>
  <sheetViews>
    <sheetView showGridLines="0" workbookViewId="0">
      <selection activeCell="L29" sqref="L29"/>
    </sheetView>
  </sheetViews>
  <sheetFormatPr defaultColWidth="7.1796875" defaultRowHeight="13" x14ac:dyDescent="0.3"/>
  <cols>
    <col min="1" max="1" width="7.1796875" customWidth="1" style="931"/>
    <col min="2" max="2" width="7.1796875" customWidth="1" style="931"/>
    <col min="3" max="3" width="7.1796875" customWidth="1" style="931"/>
    <col min="4" max="4" bestFit="1" width="16" customWidth="1" style="931"/>
    <col min="5" max="5" width="16" customWidth="1" style="931"/>
    <col min="6" max="6" width="16" customWidth="1" style="931"/>
    <col min="7" max="7" width="17.81640625" customWidth="1" style="931"/>
    <col min="8" max="8" width="13.453125" customWidth="1" style="931"/>
    <col min="9" max="9" width="13.453125" customWidth="1" style="931"/>
    <col min="10" max="10" width="13.453125" customWidth="1" style="931"/>
    <col min="11" max="11" width="13.7265625" customWidth="1" style="931"/>
    <col min="12" max="12" width="7.1796875" customWidth="1" style="931"/>
    <col min="13" max="13" width="7.1796875" customWidth="1" style="931"/>
    <col min="14" max="14" width="7.1796875" customWidth="1" style="931"/>
    <col min="15" max="16384" width="7.1796875" customWidth="1" style="931"/>
  </cols>
  <sheetData>
    <row r="3" ht="21" customHeight="1">
      <c r="D3" s="974" t="s">
        <v>9</v>
      </c>
      <c r="E3" s="974"/>
      <c r="F3" s="974"/>
      <c r="G3" s="974"/>
      <c r="H3" s="974"/>
      <c r="I3" s="974"/>
      <c r="J3" s="974"/>
      <c r="K3" s="974"/>
    </row>
    <row r="4" ht="9" customHeight="1">
      <c r="D4" s="974"/>
      <c r="E4" s="974"/>
      <c r="F4" s="974"/>
      <c r="G4" s="974"/>
      <c r="H4" s="974"/>
      <c r="I4" s="974"/>
      <c r="J4" s="974"/>
      <c r="K4" s="974"/>
    </row>
    <row r="5" ht="14.5">
      <c r="D5" s="984"/>
      <c r="E5" s="984"/>
      <c r="F5" s="984"/>
      <c r="G5" s="984"/>
      <c r="H5" s="984"/>
      <c r="I5" s="984"/>
      <c r="J5" s="984"/>
      <c r="K5" s="984"/>
    </row>
    <row r="6" ht="15" customHeight="1">
      <c r="D6" s="985" t="e">
        <f>'Table Of Contents'!$D$6:$L$6</f>
        <v>#VALUE!</v>
      </c>
      <c r="E6" s="985"/>
      <c r="F6" s="985"/>
      <c r="G6" s="985"/>
      <c r="H6" s="985"/>
      <c r="I6" s="985"/>
      <c r="J6" s="985"/>
      <c r="K6" s="985"/>
    </row>
    <row r="7" ht="13.9" customHeight="1">
      <c r="D7" s="985"/>
      <c r="E7" s="985"/>
      <c r="F7" s="985"/>
      <c r="G7" s="985"/>
      <c r="H7" s="985"/>
      <c r="I7" s="985"/>
      <c r="J7" s="985"/>
      <c r="K7" s="985"/>
    </row>
    <row r="9">
      <c r="D9" s="940" t="s">
        <v>374</v>
      </c>
      <c r="E9" s="940" t="s">
        <v>375</v>
      </c>
      <c r="F9" s="940" t="s">
        <v>376</v>
      </c>
      <c r="G9" s="940" t="s">
        <v>37</v>
      </c>
      <c r="H9" s="940" t="s">
        <v>377</v>
      </c>
      <c r="I9" s="940" t="s">
        <v>378</v>
      </c>
      <c r="J9" s="940" t="s">
        <v>379</v>
      </c>
      <c r="K9" s="940" t="s">
        <v>380</v>
      </c>
    </row>
    <row r="10">
      <c r="D10" s="991" t="s">
        <v>381</v>
      </c>
      <c r="E10" s="991" t="s">
        <v>382</v>
      </c>
      <c r="F10" s="991" t="s">
        <v>383</v>
      </c>
      <c r="G10" s="991" t="s">
        <v>383</v>
      </c>
      <c r="H10" s="991" t="s">
        <v>384</v>
      </c>
      <c r="I10" s="991" t="s">
        <v>65</v>
      </c>
      <c r="J10" s="991" t="s">
        <v>65</v>
      </c>
      <c r="K10" s="994" t="s">
        <v>385</v>
      </c>
    </row>
    <row r="11">
      <c r="D11" s="991" t="s">
        <v>386</v>
      </c>
      <c r="E11" s="991" t="s">
        <v>65</v>
      </c>
      <c r="F11" s="991" t="s">
        <v>65</v>
      </c>
      <c r="G11" s="991" t="s">
        <v>387</v>
      </c>
      <c r="H11" s="991" t="s">
        <v>388</v>
      </c>
      <c r="I11" s="991" t="s">
        <v>65</v>
      </c>
      <c r="J11" s="991" t="s">
        <v>65</v>
      </c>
      <c r="K11" s="994" t="s">
        <v>389</v>
      </c>
    </row>
    <row r="12">
      <c r="D12" s="991" t="s">
        <v>390</v>
      </c>
      <c r="E12" s="991" t="s">
        <v>65</v>
      </c>
      <c r="F12" s="991" t="s">
        <v>65</v>
      </c>
      <c r="G12" s="991" t="s">
        <v>65</v>
      </c>
      <c r="H12" s="991" t="s">
        <v>388</v>
      </c>
      <c r="I12" s="991" t="s">
        <v>65</v>
      </c>
      <c r="J12" s="991" t="s">
        <v>65</v>
      </c>
      <c r="K12" s="994" t="s">
        <v>391</v>
      </c>
    </row>
    <row r="13">
      <c r="D13" s="991" t="s">
        <v>392</v>
      </c>
      <c r="E13" s="991" t="s">
        <v>382</v>
      </c>
      <c r="F13" s="991" t="s">
        <v>383</v>
      </c>
      <c r="G13" s="991" t="s">
        <v>393</v>
      </c>
      <c r="H13" s="991" t="s">
        <v>394</v>
      </c>
      <c r="I13" s="991" t="s">
        <v>65</v>
      </c>
      <c r="J13" s="991" t="s">
        <v>65</v>
      </c>
      <c r="K13" s="994" t="s">
        <v>385</v>
      </c>
    </row>
    <row r="14">
      <c r="D14" s="991" t="s">
        <v>395</v>
      </c>
      <c r="E14" s="991" t="s">
        <v>382</v>
      </c>
      <c r="F14" s="991" t="s">
        <v>65</v>
      </c>
      <c r="G14" s="991" t="s">
        <v>396</v>
      </c>
      <c r="H14" s="991" t="s">
        <v>388</v>
      </c>
      <c r="I14" s="991" t="s">
        <v>65</v>
      </c>
      <c r="J14" s="991" t="s">
        <v>65</v>
      </c>
      <c r="K14" s="994" t="s">
        <v>397</v>
      </c>
    </row>
    <row r="15">
      <c r="D15" s="991" t="s">
        <v>398</v>
      </c>
      <c r="E15" s="991" t="s">
        <v>399</v>
      </c>
      <c r="F15" s="991" t="s">
        <v>400</v>
      </c>
      <c r="G15" s="991" t="s">
        <v>401</v>
      </c>
      <c r="H15" s="991" t="s">
        <v>402</v>
      </c>
      <c r="I15" s="991" t="s">
        <v>403</v>
      </c>
      <c r="J15" s="991" t="s">
        <v>404</v>
      </c>
      <c r="K15" s="994" t="s">
        <v>405</v>
      </c>
    </row>
    <row r="16">
      <c r="D16" s="991"/>
      <c r="E16" s="991"/>
      <c r="F16" s="991"/>
      <c r="G16" s="991"/>
      <c r="H16" s="991"/>
      <c r="I16" s="991"/>
      <c r="J16" s="991"/>
      <c r="K16" s="991"/>
    </row>
  </sheetData>
  <mergeCells>
    <mergeCell ref="D3:K4"/>
    <mergeCell ref="D5:K5"/>
    <mergeCell ref="D6:K7"/>
  </mergeCells>
  <printOptions horizontalCentered="1"/>
  <pageMargins left="0.25" right="0.25" top="0.75" bottom="0.75" header="0.3" footer="0.3"/>
  <pageSetup scale="85" orientation="landscape"/>
  <headerFooter scaleWithDoc="0">
    <oddHeader>&amp;CTD Daily File Summary</oddHeader>
    <oddFooter>&amp;L&amp;D &amp;T&amp;RPage &amp;P of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K10"/>
  <sheetViews>
    <sheetView showGridLines="0" workbookViewId="0"/>
  </sheetViews>
  <sheetFormatPr defaultColWidth="7.1796875" defaultRowHeight="13" x14ac:dyDescent="0.3"/>
  <cols>
    <col min="1" max="1" width="7.1796875" customWidth="1" style="931"/>
    <col min="2" max="2" width="7.1796875" customWidth="1" style="931"/>
    <col min="3" max="3" width="7.1796875" customWidth="1" style="931"/>
    <col min="4" max="4" bestFit="1" width="16" customWidth="1" style="931"/>
    <col min="5" max="5" width="16" customWidth="1" style="931"/>
    <col min="6" max="6" width="16" customWidth="1" style="931"/>
    <col min="7" max="7" width="17.81640625" customWidth="1" style="931"/>
    <col min="8" max="8" width="13.453125" customWidth="1" style="931"/>
    <col min="9" max="9" width="13.453125" customWidth="1" style="931"/>
    <col min="10" max="10" width="13.453125" customWidth="1" style="931"/>
    <col min="11" max="11" width="13.7265625" customWidth="1" style="931"/>
    <col min="12" max="12" width="7.1796875" customWidth="1" style="931"/>
    <col min="13" max="13" width="7.1796875" customWidth="1" style="931"/>
    <col min="14" max="14" width="7.1796875" customWidth="1" style="931"/>
    <col min="15" max="16384" width="7.1796875" customWidth="1" style="931"/>
  </cols>
  <sheetData>
    <row r="3" ht="21" customHeight="1">
      <c r="D3" s="974" t="s">
        <v>10</v>
      </c>
      <c r="E3" s="974"/>
      <c r="F3" s="974"/>
      <c r="G3" s="974"/>
      <c r="H3" s="974"/>
      <c r="I3" s="974"/>
      <c r="J3" s="974"/>
      <c r="K3" s="974"/>
    </row>
    <row r="4" ht="9" customHeight="1">
      <c r="D4" s="974"/>
      <c r="E4" s="974"/>
      <c r="F4" s="974"/>
      <c r="G4" s="974"/>
      <c r="H4" s="974"/>
      <c r="I4" s="974"/>
      <c r="J4" s="974"/>
      <c r="K4" s="974"/>
    </row>
    <row r="5" ht="14.5">
      <c r="D5" s="984"/>
      <c r="E5" s="984"/>
      <c r="F5" s="984"/>
      <c r="G5" s="984"/>
      <c r="H5" s="984"/>
      <c r="I5" s="984"/>
      <c r="J5" s="984"/>
      <c r="K5" s="984"/>
    </row>
    <row r="6" ht="15" customHeight="1">
      <c r="D6" s="985" t="e">
        <f>'Table Of Contents'!$D$6:$L$6</f>
        <v>#VALUE!</v>
      </c>
      <c r="E6" s="985"/>
      <c r="F6" s="985"/>
      <c r="G6" s="985"/>
      <c r="H6" s="985"/>
      <c r="I6" s="985"/>
      <c r="J6" s="985"/>
      <c r="K6" s="985"/>
    </row>
    <row r="7" ht="13.9" customHeight="1">
      <c r="D7" s="985"/>
      <c r="E7" s="985"/>
      <c r="F7" s="985"/>
      <c r="G7" s="985"/>
      <c r="H7" s="985"/>
      <c r="I7" s="985"/>
      <c r="J7" s="985"/>
      <c r="K7" s="985"/>
    </row>
    <row r="9">
      <c r="D9" s="940" t="s">
        <v>374</v>
      </c>
      <c r="E9" s="940" t="s">
        <v>375</v>
      </c>
      <c r="F9" s="940" t="s">
        <v>376</v>
      </c>
      <c r="G9" s="940" t="s">
        <v>37</v>
      </c>
      <c r="H9" s="940" t="s">
        <v>377</v>
      </c>
      <c r="I9" s="940" t="s">
        <v>378</v>
      </c>
      <c r="J9" s="940" t="s">
        <v>379</v>
      </c>
      <c r="K9" s="940" t="s">
        <v>380</v>
      </c>
    </row>
    <row r="10">
      <c r="D10" s="991"/>
      <c r="E10" s="991"/>
      <c r="F10" s="991"/>
      <c r="G10" s="991"/>
      <c r="H10" s="991"/>
      <c r="I10" s="991"/>
      <c r="J10" s="991"/>
      <c r="K10" s="991"/>
    </row>
  </sheetData>
  <mergeCells>
    <mergeCell ref="D3:K4"/>
    <mergeCell ref="D5:K5"/>
    <mergeCell ref="D6:K7"/>
  </mergeCells>
  <printOptions horizontalCentered="1"/>
  <pageMargins left="0.25" right="0.25" top="0.75" bottom="0.75" header="0.3" footer="0.3"/>
  <pageSetup scale="85" orientation="landscape"/>
  <headerFooter scaleWithDoc="0">
    <oddHeader>&amp;CTD Daily File Summary</oddHeader>
    <oddFooter>&amp;L&amp;D &amp;T&amp;RPage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Table Of Contents</vt:lpstr>
      <vt:lpstr>Summary</vt:lpstr>
      <vt:lpstr>Daily Purchase Report</vt:lpstr>
      <vt:lpstr>Daily Sales Report</vt:lpstr>
      <vt:lpstr>Card Transactions</vt:lpstr>
      <vt:lpstr>Cheque Transactions</vt:lpstr>
      <vt:lpstr>Credit Collection</vt:lpstr>
      <vt:lpstr>Daily Stock Report</vt:lpstr>
      <vt:lpstr>Customers</vt:lpstr>
      <vt:lpstr>Vendors</vt:lpstr>
      <vt:lpstr>'Table Of Contents'!Print_Area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Dominick Iacovelli</dc:creator>
  <cp:lastModifiedBy>chandra</cp:lastModifiedBy>
  <cp:lastPrinted>2014-04-30T21:39:31Z</cp:lastPrinted>
  <dcterms:created xsi:type="dcterms:W3CDTF">2014-04-07T21:37:38Z</dcterms:created>
  <dcterms:modified xsi:type="dcterms:W3CDTF">2022-08-30T16:09:57Z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d5232594-40db-4644-850f-45469660e3f4</vt:lpwstr>
  </property>
</Properties>
</file>