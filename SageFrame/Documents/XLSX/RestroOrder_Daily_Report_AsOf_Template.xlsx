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4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Workspace\Danfe\master\restro_master\SageFrame\Documents\XLSX\"/>
    </mc:Choice>
  </mc:AlternateContent>
  <xr:revisionPtr revIDLastSave="0" documentId="13_ncr:1_{991646CC-7B89-44AE-9989-C588F523CD38}" xr6:coauthVersionLast="47" xr6:coauthVersionMax="47" xr10:uidLastSave="{00000000-0000-0000-0000-000000000000}"/>
  <bookViews>
    <workbookView xWindow="2240" yWindow="2240" windowWidth="21600" windowHeight="12670" tabRatio="940" activeTab="1" xr2:uid="{00000000-000D-0000-FFFF-FFFF00000000}"/>
  </bookViews>
  <sheets>
    <sheet name="Table Of Contents" sheetId="24" r:id="rId1"/>
    <sheet name="Summary" sheetId="31" r:id="rId2"/>
    <sheet name="Daily Purchase Report" sheetId="37" r:id="rId3"/>
    <sheet name="Daily Sales Report" sheetId="14" r:id="rId4"/>
    <sheet name="Card Transactions" sheetId="34" r:id="rId5"/>
    <sheet name="Cheque Transactions" sheetId="35" r:id="rId6"/>
    <sheet name="Credit Collection" sheetId="38" r:id="rId7"/>
    <sheet name="Daily Stock Report" sheetId="30" r:id="rId8"/>
    <sheet name="Customers" sheetId="33" r:id="rId9"/>
    <sheet name="Vendors" sheetId="36" r:id="rId10"/>
  </sheets>
  <definedNames>
    <definedName name="Credit_Transactions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Credit_Transactions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8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9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0">'Table Of Contents'!$A$1:$O$19</definedName>
    <definedName name="Z_E5DA482D_7F1D_4A9C_A628_A26CF4A0B9BB_.wvu.FilterData" localSheetId="4" hidden="1">'Card Transactions'!#REF!</definedName>
    <definedName name="Z_E5DA482D_7F1D_4A9C_A628_A26CF4A0B9BB_.wvu.FilterData" localSheetId="5" hidden="1">'Cheque Transactions'!#REF!</definedName>
    <definedName name="Z_E5DA482D_7F1D_4A9C_A628_A26CF4A0B9BB_.wvu.FilterData" localSheetId="6" hidden="1">'Credit Collection'!#REF!</definedName>
    <definedName name="Z_E5DA482D_7F1D_4A9C_A628_A26CF4A0B9BB_.wvu.FilterData" localSheetId="8" hidden="1">Customers!#REF!</definedName>
    <definedName name="Z_E5DA482D_7F1D_4A9C_A628_A26CF4A0B9BB_.wvu.FilterData" localSheetId="2" hidden="1">'Daily Purchase Report'!#REF!</definedName>
    <definedName name="Z_E5DA482D_7F1D_4A9C_A628_A26CF4A0B9BB_.wvu.FilterData" localSheetId="3" hidden="1">'Daily Sales Report'!#REF!</definedName>
    <definedName name="Z_E5DA482D_7F1D_4A9C_A628_A26CF4A0B9BB_.wvu.FilterData" localSheetId="7" hidden="1">'Daily Stock Report'!#REF!</definedName>
    <definedName name="Z_E5DA482D_7F1D_4A9C_A628_A26CF4A0B9BB_.wvu.FilterData" localSheetId="1" hidden="1">Summary!#REF!</definedName>
    <definedName name="Z_E5DA482D_7F1D_4A9C_A628_A26CF4A0B9BB_.wvu.FilterData" localSheetId="0" hidden="1">'Table Of Contents'!#REF!</definedName>
    <definedName name="Z_E5DA482D_7F1D_4A9C_A628_A26CF4A0B9BB_.wvu.FilterData" localSheetId="9" hidden="1">Vendors!#REF!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6" i="31" l="1"/>
  <c r="I17" i="31"/>
  <c r="X23" i="14" l="1"/>
  <c r="U23" i="14"/>
  <c r="X16" i="14"/>
  <c r="U16" i="14"/>
  <c r="I20" i="31"/>
  <c r="I19" i="31"/>
  <c r="I18" i="31"/>
  <c r="I15" i="31"/>
  <c r="I14" i="31"/>
  <c r="I13" i="31"/>
  <c r="I12" i="31"/>
  <c r="I11" i="31"/>
  <c r="I10" i="31"/>
  <c r="D6" i="38"/>
  <c r="I21" i="31" l="1"/>
  <c r="D6" i="37"/>
  <c r="D6" i="36" l="1"/>
  <c r="D6" i="35"/>
  <c r="D6" i="34"/>
  <c r="D6" i="33" l="1"/>
  <c r="D6" i="31"/>
  <c r="D6" i="30"/>
  <c r="D6" i="14" l="1"/>
</calcChain>
</file>

<file path=xl/sharedStrings.xml><?xml version="1.0" encoding="utf-8"?>
<sst xmlns="http://schemas.openxmlformats.org/spreadsheetml/2006/main" count="150" uniqueCount="91">
  <si>
    <t>Sunday, December 11, 2016</t>
  </si>
  <si>
    <t>Table Of Contents</t>
  </si>
  <si>
    <t>Summary</t>
  </si>
  <si>
    <t>Bill No</t>
  </si>
  <si>
    <t>Time</t>
  </si>
  <si>
    <t>Basic Amnt</t>
  </si>
  <si>
    <t>Srv. Chrg</t>
  </si>
  <si>
    <t>VAT</t>
  </si>
  <si>
    <t>Payment Mode</t>
  </si>
  <si>
    <t>Daily Sales Report</t>
  </si>
  <si>
    <t xml:space="preserve">Restro Order Reports </t>
  </si>
  <si>
    <t>Cash</t>
  </si>
  <si>
    <t>Card</t>
  </si>
  <si>
    <t>Cheque</t>
  </si>
  <si>
    <t>Net Amt</t>
  </si>
  <si>
    <t>Tender Amt</t>
  </si>
  <si>
    <t>Return Amt</t>
  </si>
  <si>
    <t>Received Amt</t>
  </si>
  <si>
    <t>ItemName</t>
  </si>
  <si>
    <t>Opening Balance</t>
  </si>
  <si>
    <t>Purchase</t>
  </si>
  <si>
    <t>Consumed</t>
  </si>
  <si>
    <t>Closing Balance</t>
  </si>
  <si>
    <t>Unit</t>
  </si>
  <si>
    <t>Daily Stock Report</t>
  </si>
  <si>
    <t>Credit</t>
  </si>
  <si>
    <t>Total Cash Received</t>
  </si>
  <si>
    <t>Surplus/Deficit</t>
  </si>
  <si>
    <t>Cash In Counter</t>
  </si>
  <si>
    <t>Cash Settlement</t>
  </si>
  <si>
    <t>Full Name</t>
  </si>
  <si>
    <t>Address</t>
  </si>
  <si>
    <t>Contact No</t>
  </si>
  <si>
    <t>Credit Balance</t>
  </si>
  <si>
    <t>Daily Summary Report</t>
  </si>
  <si>
    <t>Card Number</t>
  </si>
  <si>
    <t>Country</t>
  </si>
  <si>
    <t>City</t>
  </si>
  <si>
    <t>PAN</t>
  </si>
  <si>
    <t>Cheque Amt</t>
  </si>
  <si>
    <t>Card Amt</t>
  </si>
  <si>
    <t>Credit Amt</t>
  </si>
  <si>
    <t>Bill Date</t>
  </si>
  <si>
    <t>Table</t>
  </si>
  <si>
    <t>Room</t>
  </si>
  <si>
    <t>Provider</t>
  </si>
  <si>
    <t>Pay Mode</t>
  </si>
  <si>
    <t>Check #</t>
  </si>
  <si>
    <t>Transcation #</t>
  </si>
  <si>
    <t>Amount</t>
  </si>
  <si>
    <t>Card Sales Report</t>
  </si>
  <si>
    <t>Cheque Sales Report</t>
  </si>
  <si>
    <t>Customer Balance</t>
  </si>
  <si>
    <t>Vendor Balance</t>
  </si>
  <si>
    <t>SN</t>
  </si>
  <si>
    <t>PurchaseNo.</t>
  </si>
  <si>
    <t>Vender</t>
  </si>
  <si>
    <t>Item Name</t>
  </si>
  <si>
    <t>Qty</t>
  </si>
  <si>
    <t>Rate(Rs.)</t>
  </si>
  <si>
    <t>VAT(Rs.)</t>
  </si>
  <si>
    <t>Amount(Rs.)</t>
  </si>
  <si>
    <t>Date</t>
  </si>
  <si>
    <t>Fiscal Year</t>
  </si>
  <si>
    <t>PurchaseBy</t>
  </si>
  <si>
    <t>Daily Purchase Report</t>
  </si>
  <si>
    <t>Cheque Transactions</t>
  </si>
  <si>
    <t>Card Transactions</t>
  </si>
  <si>
    <t>Customer</t>
  </si>
  <si>
    <t>Received By</t>
  </si>
  <si>
    <t>Discount</t>
  </si>
  <si>
    <t>S.Charge</t>
  </si>
  <si>
    <t>Total Lunch Sales</t>
  </si>
  <si>
    <t>Total Ala Carte Sales</t>
  </si>
  <si>
    <t>Total Party Sales</t>
  </si>
  <si>
    <t>Total</t>
  </si>
  <si>
    <t>Cash Denomination</t>
  </si>
  <si>
    <t>Qty.</t>
  </si>
  <si>
    <t xml:space="preserve">Total </t>
  </si>
  <si>
    <t>Total Sales</t>
  </si>
  <si>
    <t>Breakfast(&lt;12 PM)</t>
  </si>
  <si>
    <t>Lunch(12 PM To 4 PM)</t>
  </si>
  <si>
    <t>Dinner(&gt;4 PM)</t>
  </si>
  <si>
    <t>Sales Amount</t>
  </si>
  <si>
    <t>Sales</t>
  </si>
  <si>
    <t>Advance</t>
  </si>
  <si>
    <t>Bank</t>
  </si>
  <si>
    <t>Total Expenses</t>
  </si>
  <si>
    <t>Cost Center</t>
  </si>
  <si>
    <t>eSewa</t>
  </si>
  <si>
    <t>FonePay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</si>
</sst>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General_)"/>
    <numFmt numFmtId="165" formatCode="[$-F800]dddd\,\ mmmm\ dd\,\ yyyy"/>
  </numFmts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1"/>
      <color theme="10"/>
      <name val="Calibri"/>
      <family val="2"/>
      <scheme val="minor"/>
    </font>
    <font>
      <u/>
      <sz val="10"/>
      <color indexed="12"/>
      <name val="Arial"/>
      <family val="2"/>
    </font>
    <font>
      <u/>
      <sz val="10"/>
      <color theme="10"/>
      <name val="Arial"/>
      <family val="2"/>
    </font>
    <font>
      <u/>
      <sz val="9"/>
      <color theme="10"/>
      <name val="Arial"/>
      <family val="2"/>
    </font>
    <font>
      <u/>
      <sz val="9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MS Sans Serif"/>
      <family val="2"/>
    </font>
    <font>
      <sz val="10"/>
      <color theme="1"/>
      <name val="Tahoma"/>
      <family val="2"/>
    </font>
    <font>
      <sz val="10"/>
      <color theme="1"/>
      <name val="Arial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1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Times New Roman"/>
      <family val="1"/>
    </font>
    <font>
      <sz val="10"/>
      <color indexed="8"/>
      <name val="Times New Roman"/>
      <family val="1"/>
    </font>
    <font>
      <sz val="11"/>
      <name val="Times New Roman"/>
      <family val="1"/>
    </font>
    <font>
      <sz val="11"/>
      <color indexed="8"/>
      <name val="Times New Roman"/>
      <family val="1"/>
    </font>
    <font>
      <b/>
      <sz val="10"/>
      <name val="Times New Roman"/>
      <family val="1"/>
    </font>
    <font>
      <b/>
      <sz val="12"/>
      <color theme="1"/>
      <name val="Calibri"/>
      <family val="2"/>
      <scheme val="minor"/>
    </font>
    <font>
      <b/>
      <sz val="11"/>
      <name val="Times New Roman"/>
      <family val="1"/>
    </font>
    <font>
      <sz val="11"/>
      <color indexed="8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6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</fills>
  <borders count="4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61"/>
      </right>
      <top style="thin">
        <color indexed="22"/>
      </top>
      <bottom style="thin">
        <color indexed="6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926">
    <xf numFmtId="0" fontId="0" fillId="0" borderId="0"/>
    <xf numFmtId="0" fontId="2" fillId="0" borderId="0"/>
    <xf numFmtId="164" fontId="2" fillId="0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3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4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5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7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8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6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9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3" fillId="12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0" borderId="0"/>
    <xf numFmtId="0" fontId="4" fillId="10" borderId="0"/>
    <xf numFmtId="0" fontId="4" fillId="10" borderId="0"/>
    <xf numFmtId="0" fontId="4" fillId="10" borderId="0"/>
    <xf numFmtId="0" fontId="4" fillId="10" borderId="0"/>
    <xf numFmtId="0" fontId="4" fillId="10" borderId="0"/>
    <xf numFmtId="0" fontId="4" fillId="10" borderId="0"/>
    <xf numFmtId="0" fontId="4" fillId="10" borderId="0"/>
    <xf numFmtId="0" fontId="4" fillId="10" borderId="0"/>
    <xf numFmtId="0" fontId="4" fillId="11" borderId="0"/>
    <xf numFmtId="0" fontId="4" fillId="11" borderId="0"/>
    <xf numFmtId="0" fontId="4" fillId="11" borderId="0"/>
    <xf numFmtId="0" fontId="4" fillId="11" borderId="0"/>
    <xf numFmtId="0" fontId="4" fillId="11" borderId="0"/>
    <xf numFmtId="0" fontId="4" fillId="11" borderId="0"/>
    <xf numFmtId="0" fontId="4" fillId="11" borderId="0"/>
    <xf numFmtId="0" fontId="4" fillId="11" borderId="0"/>
    <xf numFmtId="0" fontId="4" fillId="11" borderId="0"/>
    <xf numFmtId="0" fontId="4" fillId="14" borderId="0"/>
    <xf numFmtId="0" fontId="4" fillId="14" borderId="0"/>
    <xf numFmtId="0" fontId="4" fillId="14" borderId="0"/>
    <xf numFmtId="0" fontId="4" fillId="14" borderId="0"/>
    <xf numFmtId="0" fontId="4" fillId="14" borderId="0"/>
    <xf numFmtId="0" fontId="4" fillId="14" borderId="0"/>
    <xf numFmtId="0" fontId="4" fillId="14" borderId="0"/>
    <xf numFmtId="0" fontId="4" fillId="14" borderId="0"/>
    <xf numFmtId="0" fontId="4" fillId="14" borderId="0"/>
    <xf numFmtId="0" fontId="4" fillId="15" borderId="0"/>
    <xf numFmtId="0" fontId="4" fillId="15" borderId="0"/>
    <xf numFmtId="0" fontId="4" fillId="15" borderId="0"/>
    <xf numFmtId="0" fontId="4" fillId="15" borderId="0"/>
    <xf numFmtId="0" fontId="4" fillId="15" borderId="0"/>
    <xf numFmtId="0" fontId="4" fillId="15" borderId="0"/>
    <xf numFmtId="0" fontId="4" fillId="15" borderId="0"/>
    <xf numFmtId="0" fontId="4" fillId="15" borderId="0"/>
    <xf numFmtId="0" fontId="4" fillId="15" borderId="0"/>
    <xf numFmtId="0" fontId="4" fillId="16" borderId="0"/>
    <xf numFmtId="0" fontId="4" fillId="16" borderId="0"/>
    <xf numFmtId="0" fontId="4" fillId="16" borderId="0"/>
    <xf numFmtId="0" fontId="4" fillId="16" borderId="0"/>
    <xf numFmtId="0" fontId="4" fillId="16" borderId="0"/>
    <xf numFmtId="0" fontId="4" fillId="16" borderId="0"/>
    <xf numFmtId="0" fontId="4" fillId="16" borderId="0"/>
    <xf numFmtId="0" fontId="4" fillId="16" borderId="0"/>
    <xf numFmtId="0" fontId="4" fillId="16" borderId="0"/>
    <xf numFmtId="0" fontId="4" fillId="17" borderId="0"/>
    <xf numFmtId="0" fontId="4" fillId="17" borderId="0"/>
    <xf numFmtId="0" fontId="4" fillId="17" borderId="0"/>
    <xf numFmtId="0" fontId="4" fillId="17" borderId="0"/>
    <xf numFmtId="0" fontId="4" fillId="17" borderId="0"/>
    <xf numFmtId="0" fontId="4" fillId="17" borderId="0"/>
    <xf numFmtId="0" fontId="4" fillId="17" borderId="0"/>
    <xf numFmtId="0" fontId="4" fillId="17" borderId="0"/>
    <xf numFmtId="0" fontId="4" fillId="17" borderId="0"/>
    <xf numFmtId="0" fontId="4" fillId="18" borderId="0"/>
    <xf numFmtId="0" fontId="4" fillId="18" borderId="0"/>
    <xf numFmtId="0" fontId="4" fillId="18" borderId="0"/>
    <xf numFmtId="0" fontId="4" fillId="18" borderId="0"/>
    <xf numFmtId="0" fontId="4" fillId="18" borderId="0"/>
    <xf numFmtId="0" fontId="4" fillId="18" borderId="0"/>
    <xf numFmtId="0" fontId="4" fillId="18" borderId="0"/>
    <xf numFmtId="0" fontId="4" fillId="18" borderId="0"/>
    <xf numFmtId="0" fontId="4" fillId="18" borderId="0"/>
    <xf numFmtId="0" fontId="4" fillId="19" borderId="0"/>
    <xf numFmtId="0" fontId="4" fillId="19" borderId="0"/>
    <xf numFmtId="0" fontId="4" fillId="19" borderId="0"/>
    <xf numFmtId="0" fontId="4" fillId="19" borderId="0"/>
    <xf numFmtId="0" fontId="4" fillId="19" borderId="0"/>
    <xf numFmtId="0" fontId="4" fillId="19" borderId="0"/>
    <xf numFmtId="0" fontId="4" fillId="19" borderId="0"/>
    <xf numFmtId="0" fontId="4" fillId="19" borderId="0"/>
    <xf numFmtId="0" fontId="4" fillId="19" borderId="0"/>
    <xf numFmtId="0" fontId="4" fillId="14" borderId="0"/>
    <xf numFmtId="0" fontId="4" fillId="14" borderId="0"/>
    <xf numFmtId="0" fontId="4" fillId="14" borderId="0"/>
    <xf numFmtId="0" fontId="4" fillId="14" borderId="0"/>
    <xf numFmtId="0" fontId="4" fillId="14" borderId="0"/>
    <xf numFmtId="0" fontId="4" fillId="14" borderId="0"/>
    <xf numFmtId="0" fontId="4" fillId="14" borderId="0"/>
    <xf numFmtId="0" fontId="4" fillId="14" borderId="0"/>
    <xf numFmtId="0" fontId="4" fillId="14" borderId="0"/>
    <xf numFmtId="0" fontId="4" fillId="15" borderId="0"/>
    <xf numFmtId="0" fontId="4" fillId="15" borderId="0"/>
    <xf numFmtId="0" fontId="4" fillId="15" borderId="0"/>
    <xf numFmtId="0" fontId="4" fillId="15" borderId="0"/>
    <xf numFmtId="0" fontId="4" fillId="15" borderId="0"/>
    <xf numFmtId="0" fontId="4" fillId="15" borderId="0"/>
    <xf numFmtId="0" fontId="4" fillId="15" borderId="0"/>
    <xf numFmtId="0" fontId="4" fillId="15" borderId="0"/>
    <xf numFmtId="0" fontId="4" fillId="15" borderId="0"/>
    <xf numFmtId="0" fontId="4" fillId="20" borderId="0"/>
    <xf numFmtId="0" fontId="4" fillId="20" borderId="0"/>
    <xf numFmtId="0" fontId="4" fillId="20" borderId="0"/>
    <xf numFmtId="0" fontId="4" fillId="20" borderId="0"/>
    <xf numFmtId="0" fontId="4" fillId="20" borderId="0"/>
    <xf numFmtId="0" fontId="4" fillId="20" borderId="0"/>
    <xf numFmtId="0" fontId="4" fillId="20" borderId="0"/>
    <xf numFmtId="0" fontId="4" fillId="20" borderId="0"/>
    <xf numFmtId="0" fontId="4" fillId="20" borderId="0"/>
    <xf numFmtId="0" fontId="5" fillId="4" borderId="0"/>
    <xf numFmtId="0" fontId="5" fillId="4" borderId="0"/>
    <xf numFmtId="0" fontId="5" fillId="4" borderId="0"/>
    <xf numFmtId="0" fontId="5" fillId="4" borderId="0"/>
    <xf numFmtId="0" fontId="5" fillId="4" borderId="0"/>
    <xf numFmtId="0" fontId="5" fillId="4" borderId="0"/>
    <xf numFmtId="0" fontId="5" fillId="4" borderId="0"/>
    <xf numFmtId="0" fontId="5" fillId="4" borderId="0"/>
    <xf numFmtId="0" fontId="5" fillId="4" borderId="0"/>
    <xf numFmtId="0" fontId="6" fillId="21" borderId="3"/>
    <xf numFmtId="0" fontId="6" fillId="21" borderId="3"/>
    <xf numFmtId="0" fontId="6" fillId="21" borderId="3"/>
    <xf numFmtId="0" fontId="6" fillId="21" borderId="3"/>
    <xf numFmtId="0" fontId="6" fillId="21" borderId="3"/>
    <xf numFmtId="0" fontId="6" fillId="21" borderId="3"/>
    <xf numFmtId="0" fontId="6" fillId="21" borderId="3"/>
    <xf numFmtId="0" fontId="6" fillId="21" borderId="3"/>
    <xf numFmtId="0" fontId="6" fillId="21" borderId="3"/>
    <xf numFmtId="0" fontId="7" fillId="22" borderId="4"/>
    <xf numFmtId="0" fontId="7" fillId="22" borderId="4"/>
    <xf numFmtId="0" fontId="7" fillId="22" borderId="4"/>
    <xf numFmtId="0" fontId="7" fillId="22" borderId="4"/>
    <xf numFmtId="0" fontId="7" fillId="22" borderId="4"/>
    <xf numFmtId="0" fontId="7" fillId="22" borderId="4"/>
    <xf numFmtId="0" fontId="7" fillId="22" borderId="4"/>
    <xf numFmtId="0" fontId="7" fillId="22" borderId="4"/>
    <xf numFmtId="0" fontId="7" fillId="22" borderId="4"/>
    <xf numFmtId="41" fontId="2" fillId="0" borderId="0"/>
    <xf numFmtId="41" fontId="3" fillId="0" borderId="0"/>
    <xf numFmtId="41" fontId="3" fillId="0" borderId="0"/>
    <xf numFmtId="41" fontId="3" fillId="0" borderId="0"/>
    <xf numFmtId="41" fontId="3" fillId="0" borderId="0"/>
    <xf numFmtId="41" fontId="3" fillId="0" borderId="0"/>
    <xf numFmtId="41" fontId="3" fillId="0" borderId="0"/>
    <xf numFmtId="41" fontId="3" fillId="0" borderId="0"/>
    <xf numFmtId="41" fontId="3" fillId="0" borderId="0"/>
    <xf numFmtId="41" fontId="3" fillId="0" borderId="0"/>
    <xf numFmtId="41" fontId="1" fillId="0" borderId="0"/>
    <xf numFmtId="41" fontId="3" fillId="0" borderId="0"/>
    <xf numFmtId="41" fontId="3" fillId="0" borderId="0"/>
    <xf numFmtId="41" fontId="3" fillId="0" borderId="0"/>
    <xf numFmtId="41" fontId="3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1" fillId="0" borderId="0"/>
    <xf numFmtId="43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" fillId="0" borderId="0"/>
    <xf numFmtId="43" fontId="3" fillId="0" borderId="0"/>
    <xf numFmtId="43" fontId="2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4" fontId="2" fillId="0" borderId="0"/>
    <xf numFmtId="44" fontId="3" fillId="0" borderId="0"/>
    <xf numFmtId="44" fontId="3" fillId="0" borderId="0"/>
    <xf numFmtId="44" fontId="3" fillId="0" borderId="0"/>
    <xf numFmtId="44" fontId="3" fillId="0" borderId="0"/>
    <xf numFmtId="44" fontId="3" fillId="0" borderId="0"/>
    <xf numFmtId="44" fontId="3" fillId="0" borderId="0"/>
    <xf numFmtId="44" fontId="3" fillId="0" borderId="0"/>
    <xf numFmtId="44" fontId="3" fillId="0" borderId="0"/>
    <xf numFmtId="44" fontId="2" fillId="0" borderId="0"/>
    <xf numFmtId="44" fontId="3" fillId="0" borderId="0"/>
    <xf numFmtId="44" fontId="3" fillId="0" borderId="0"/>
    <xf numFmtId="44" fontId="3" fillId="0" borderId="0"/>
    <xf numFmtId="44" fontId="3" fillId="0" borderId="0"/>
    <xf numFmtId="44" fontId="3" fillId="0" borderId="0"/>
    <xf numFmtId="44" fontId="1" fillId="0" borderId="0"/>
    <xf numFmtId="44" fontId="3" fillId="0" borderId="0"/>
    <xf numFmtId="44" fontId="3" fillId="0" borderId="0"/>
    <xf numFmtId="44" fontId="3" fillId="0" borderId="0"/>
    <xf numFmtId="44" fontId="2" fillId="0" borderId="0"/>
    <xf numFmtId="44" fontId="3" fillId="0" borderId="0"/>
    <xf numFmtId="44" fontId="2" fillId="0" borderId="0"/>
    <xf numFmtId="44" fontId="1" fillId="0" borderId="0"/>
    <xf numFmtId="44" fontId="3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10" fillId="0" borderId="5"/>
    <xf numFmtId="0" fontId="10" fillId="0" borderId="5"/>
    <xf numFmtId="0" fontId="10" fillId="0" borderId="5"/>
    <xf numFmtId="0" fontId="10" fillId="0" borderId="5"/>
    <xf numFmtId="0" fontId="10" fillId="0" borderId="5"/>
    <xf numFmtId="0" fontId="10" fillId="0" borderId="5"/>
    <xf numFmtId="0" fontId="10" fillId="0" borderId="5"/>
    <xf numFmtId="0" fontId="10" fillId="0" borderId="5"/>
    <xf numFmtId="0" fontId="10" fillId="0" borderId="5"/>
    <xf numFmtId="0" fontId="11" fillId="0" borderId="6"/>
    <xf numFmtId="0" fontId="11" fillId="0" borderId="6"/>
    <xf numFmtId="0" fontId="11" fillId="0" borderId="6"/>
    <xf numFmtId="0" fontId="11" fillId="0" borderId="6"/>
    <xf numFmtId="0" fontId="11" fillId="0" borderId="6"/>
    <xf numFmtId="0" fontId="11" fillId="0" borderId="6"/>
    <xf numFmtId="0" fontId="11" fillId="0" borderId="6"/>
    <xf numFmtId="0" fontId="11" fillId="0" borderId="6"/>
    <xf numFmtId="0" fontId="11" fillId="0" borderId="6"/>
    <xf numFmtId="0" fontId="12" fillId="0" borderId="7"/>
    <xf numFmtId="0" fontId="12" fillId="0" borderId="7"/>
    <xf numFmtId="0" fontId="12" fillId="0" borderId="7"/>
    <xf numFmtId="0" fontId="12" fillId="0" borderId="7"/>
    <xf numFmtId="0" fontId="12" fillId="0" borderId="7"/>
    <xf numFmtId="0" fontId="12" fillId="0" borderId="7"/>
    <xf numFmtId="0" fontId="12" fillId="0" borderId="7"/>
    <xf numFmtId="0" fontId="12" fillId="0" borderId="7"/>
    <xf numFmtId="0" fontId="12" fillId="0" borderId="7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>
      <alignment vertical="top"/>
      <protection locked="0"/>
    </xf>
    <xf numFmtId="0" fontId="14" fillId="0" borderId="0">
      <alignment vertical="top"/>
      <protection locked="0"/>
    </xf>
    <xf numFmtId="0" fontId="14" fillId="0" borderId="0">
      <alignment vertical="top"/>
      <protection locked="0"/>
    </xf>
    <xf numFmtId="0" fontId="14" fillId="0" borderId="0">
      <alignment vertical="top"/>
      <protection locked="0"/>
    </xf>
    <xf numFmtId="0" fontId="15" fillId="0" borderId="0">
      <alignment vertical="top"/>
      <protection locked="0"/>
    </xf>
    <xf numFmtId="0" fontId="15" fillId="0" borderId="0">
      <alignment vertical="top"/>
      <protection locked="0"/>
    </xf>
    <xf numFmtId="0" fontId="15" fillId="0" borderId="0">
      <alignment vertical="top"/>
      <protection locked="0"/>
    </xf>
    <xf numFmtId="0" fontId="16" fillId="0" borderId="0">
      <alignment vertical="top"/>
      <protection locked="0"/>
    </xf>
    <xf numFmtId="0" fontId="17" fillId="0" borderId="0">
      <alignment vertical="top"/>
      <protection locked="0"/>
    </xf>
    <xf numFmtId="0" fontId="17" fillId="0" borderId="0">
      <alignment vertical="top"/>
      <protection locked="0"/>
    </xf>
    <xf numFmtId="0" fontId="16" fillId="0" borderId="0">
      <alignment vertical="top"/>
      <protection locked="0"/>
    </xf>
    <xf numFmtId="0" fontId="18" fillId="0" borderId="0">
      <alignment vertical="top"/>
      <protection locked="0"/>
    </xf>
    <xf numFmtId="0" fontId="19" fillId="8" borderId="3"/>
    <xf numFmtId="0" fontId="19" fillId="8" borderId="3"/>
    <xf numFmtId="0" fontId="19" fillId="8" borderId="3"/>
    <xf numFmtId="0" fontId="19" fillId="8" borderId="3"/>
    <xf numFmtId="0" fontId="19" fillId="8" borderId="3"/>
    <xf numFmtId="0" fontId="19" fillId="8" borderId="3"/>
    <xf numFmtId="0" fontId="19" fillId="8" borderId="3"/>
    <xf numFmtId="0" fontId="19" fillId="8" borderId="3"/>
    <xf numFmtId="0" fontId="19" fillId="8" borderId="3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1" fillId="23" borderId="0"/>
    <xf numFmtId="0" fontId="21" fillId="23" borderId="0"/>
    <xf numFmtId="0" fontId="21" fillId="23" borderId="0"/>
    <xf numFmtId="0" fontId="21" fillId="23" borderId="0"/>
    <xf numFmtId="0" fontId="21" fillId="23" borderId="0"/>
    <xf numFmtId="0" fontId="21" fillId="23" borderId="0"/>
    <xf numFmtId="0" fontId="21" fillId="23" borderId="0"/>
    <xf numFmtId="0" fontId="21" fillId="23" borderId="0"/>
    <xf numFmtId="0" fontId="21" fillId="23" borderId="0"/>
    <xf numFmtId="164" fontId="2" fillId="0" borderId="0"/>
    <xf numFmtId="164" fontId="2" fillId="0" borderId="0"/>
    <xf numFmtId="0" fontId="1" fillId="0" borderId="0"/>
    <xf numFmtId="164" fontId="2" fillId="0" borderId="0"/>
    <xf numFmtId="0" fontId="2" fillId="0" borderId="0">
      <alignment vertical="top"/>
    </xf>
    <xf numFmtId="0" fontId="2" fillId="0" borderId="0">
      <alignment vertical="top"/>
    </xf>
    <xf numFmtId="164" fontId="2" fillId="0" borderId="0"/>
    <xf numFmtId="164" fontId="2" fillId="0" borderId="0"/>
    <xf numFmtId="0" fontId="2" fillId="0" borderId="0"/>
    <xf numFmtId="0" fontId="2" fillId="0" borderId="0"/>
    <xf numFmtId="0" fontId="2" fillId="0" borderId="0"/>
    <xf numFmtId="0" fontId="2" fillId="0" borderId="0">
      <alignment vertical="top"/>
    </xf>
    <xf numFmtId="0" fontId="2" fillId="0" borderId="0"/>
    <xf numFmtId="0" fontId="1" fillId="0" borderId="0"/>
    <xf numFmtId="0" fontId="2" fillId="0" borderId="0">
      <alignment vertical="top"/>
    </xf>
    <xf numFmtId="0" fontId="1" fillId="0" borderId="0"/>
    <xf numFmtId="0" fontId="2" fillId="0" borderId="0">
      <alignment vertical="top"/>
    </xf>
    <xf numFmtId="0" fontId="1" fillId="0" borderId="0"/>
    <xf numFmtId="0" fontId="1" fillId="0" borderId="0"/>
    <xf numFmtId="0" fontId="2" fillId="0" borderId="0">
      <alignment vertical="top"/>
    </xf>
    <xf numFmtId="0" fontId="1" fillId="0" borderId="0"/>
    <xf numFmtId="0" fontId="22" fillId="0" borderId="0"/>
    <xf numFmtId="0" fontId="2" fillId="0" borderId="0"/>
    <xf numFmtId="0" fontId="2" fillId="0" borderId="0"/>
    <xf numFmtId="0" fontId="2" fillId="0" borderId="0"/>
    <xf numFmtId="164" fontId="2" fillId="0" borderId="0"/>
    <xf numFmtId="0" fontId="2" fillId="0" borderId="0">
      <alignment vertical="top"/>
    </xf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2" fillId="0" borderId="0"/>
    <xf numFmtId="164" fontId="2" fillId="0" borderId="0"/>
    <xf numFmtId="164" fontId="2" fillId="0" borderId="0"/>
    <xf numFmtId="0" fontId="2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>
      <alignment vertical="top"/>
    </xf>
    <xf numFmtId="0" fontId="2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4" fontId="2" fillId="0" borderId="0"/>
    <xf numFmtId="0" fontId="1" fillId="0" borderId="0"/>
    <xf numFmtId="0" fontId="2" fillId="0" borderId="0"/>
    <xf numFmtId="0" fontId="2" fillId="0" borderId="0">
      <alignment vertical="top"/>
    </xf>
    <xf numFmtId="164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22" fillId="0" borderId="0"/>
    <xf numFmtId="0" fontId="2" fillId="0" borderId="0"/>
    <xf numFmtId="0" fontId="2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164" fontId="2" fillId="0" borderId="0"/>
    <xf numFmtId="0" fontId="24" fillId="0" borderId="0"/>
    <xf numFmtId="164" fontId="2" fillId="0" borderId="0"/>
    <xf numFmtId="164" fontId="2" fillId="0" borderId="0"/>
    <xf numFmtId="164" fontId="2" fillId="0" borderId="0"/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2" fillId="0" borderId="0"/>
    <xf numFmtId="164" fontId="2" fillId="0" borderId="0"/>
    <xf numFmtId="0" fontId="2" fillId="0" borderId="0"/>
    <xf numFmtId="164" fontId="2" fillId="0" borderId="0"/>
    <xf numFmtId="164" fontId="2" fillId="0" borderId="0"/>
    <xf numFmtId="164" fontId="2" fillId="0" borderId="0"/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3" fillId="0" borderId="0"/>
    <xf numFmtId="164" fontId="2" fillId="0" borderId="0"/>
    <xf numFmtId="164" fontId="2" fillId="0" borderId="0"/>
    <xf numFmtId="164" fontId="2" fillId="0" borderId="0"/>
    <xf numFmtId="164" fontId="2" fillId="0" borderId="0"/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2" fillId="0" borderId="0">
      <alignment vertical="top"/>
    </xf>
    <xf numFmtId="0" fontId="1" fillId="0" borderId="0"/>
    <xf numFmtId="0" fontId="1" fillId="0" borderId="0"/>
    <xf numFmtId="0" fontId="1" fillId="2" borderId="1"/>
    <xf numFmtId="0" fontId="2" fillId="24" borderId="9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2" fillId="24" borderId="9"/>
    <xf numFmtId="0" fontId="3" fillId="2" borderId="1"/>
    <xf numFmtId="0" fontId="2" fillId="24" borderId="9"/>
    <xf numFmtId="0" fontId="2" fillId="24" borderId="9"/>
    <xf numFmtId="0" fontId="2" fillId="24" borderId="9"/>
    <xf numFmtId="0" fontId="2" fillId="24" borderId="9"/>
    <xf numFmtId="0" fontId="2" fillId="24" borderId="9"/>
    <xf numFmtId="0" fontId="2" fillId="24" borderId="9"/>
    <xf numFmtId="0" fontId="2" fillId="24" borderId="9"/>
    <xf numFmtId="0" fontId="25" fillId="21" borderId="10"/>
    <xf numFmtId="0" fontId="25" fillId="21" borderId="10"/>
    <xf numFmtId="0" fontId="25" fillId="21" borderId="10"/>
    <xf numFmtId="0" fontId="25" fillId="21" borderId="10"/>
    <xf numFmtId="0" fontId="25" fillId="21" borderId="10"/>
    <xf numFmtId="0" fontId="25" fillId="21" borderId="10"/>
    <xf numFmtId="0" fontId="25" fillId="21" borderId="10"/>
    <xf numFmtId="0" fontId="25" fillId="21" borderId="10"/>
    <xf numFmtId="0" fontId="25" fillId="21" borderId="10"/>
    <xf numFmtId="9" fontId="3" fillId="0" borderId="0"/>
    <xf numFmtId="9" fontId="3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3" fillId="0" borderId="0"/>
    <xf numFmtId="9" fontId="1" fillId="0" borderId="0"/>
    <xf numFmtId="9" fontId="3" fillId="0" borderId="0"/>
    <xf numFmtId="9" fontId="3" fillId="0" borderId="0"/>
    <xf numFmtId="9" fontId="1" fillId="0" borderId="0"/>
    <xf numFmtId="9" fontId="1" fillId="0" borderId="0"/>
    <xf numFmtId="9" fontId="3" fillId="0" borderId="0"/>
    <xf numFmtId="9" fontId="1" fillId="0" borderId="0"/>
    <xf numFmtId="9" fontId="3" fillId="0" borderId="0"/>
    <xf numFmtId="9" fontId="2" fillId="0" borderId="0"/>
    <xf numFmtId="0" fontId="2" fillId="25" borderId="11"/>
    <xf numFmtId="0" fontId="2" fillId="25" borderId="11"/>
    <xf numFmtId="0" fontId="2" fillId="25" borderId="11"/>
    <xf numFmtId="0" fontId="2" fillId="25" borderId="11"/>
    <xf numFmtId="0" fontId="2" fillId="25" borderId="11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0" borderId="12"/>
    <xf numFmtId="0" fontId="27" fillId="0" borderId="12"/>
    <xf numFmtId="0" fontId="27" fillId="0" borderId="12"/>
    <xf numFmtId="0" fontId="27" fillId="0" borderId="12"/>
    <xf numFmtId="0" fontId="27" fillId="0" borderId="12"/>
    <xf numFmtId="0" fontId="27" fillId="0" borderId="12"/>
    <xf numFmtId="0" fontId="27" fillId="0" borderId="12"/>
    <xf numFmtId="0" fontId="27" fillId="0" borderId="12"/>
    <xf numFmtId="0" fontId="27" fillId="0" borderId="12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43" fontId="1" fillId="0" borderId="0" applyFont="0" applyFill="0" applyBorder="0" applyAlignment="0" applyProtection="0"/>
  </cellStyleXfs>
  <cellXfs count="74">
    <xf numFmtId="0" fontId="0" fillId="0" borderId="0" xfId="0" applyNumberFormat="1" applyFont="1" applyFill="1" applyBorder="1"/>
    <xf numFmtId="0" fontId="30" fillId="0" borderId="0" xfId="0" applyNumberFormat="1" applyFont="1" applyFill="1" applyBorder="1"/>
    <xf numFmtId="0" fontId="30" fillId="0" borderId="0" xfId="0" applyNumberFormat="1" applyFont="1" applyFill="1" applyBorder="1"/>
    <xf numFmtId="0" fontId="32" fillId="0" borderId="0" xfId="0" applyNumberFormat="1" applyFont="1" applyFill="1" applyBorder="1"/>
    <xf numFmtId="0" fontId="32" fillId="0" borderId="0" xfId="676" applyNumberFormat="1" applyFont="1" applyFill="1" applyBorder="1"/>
    <xf numFmtId="165" fontId="0" fillId="0" borderId="0" xfId="0" applyNumberFormat="1" applyFont="1" applyFill="1" applyBorder="1" applyAlignment="1">
      <alignment vertical="center" wrapText="1"/>
    </xf>
    <xf numFmtId="0" fontId="30" fillId="0" borderId="0" xfId="0" applyNumberFormat="1" applyFont="1" applyFill="1" applyBorder="1"/>
    <xf numFmtId="0" fontId="30" fillId="0" borderId="22" xfId="0" applyNumberFormat="1" applyFont="1" applyFill="1" applyBorder="1"/>
    <xf numFmtId="0" fontId="30" fillId="0" borderId="27" xfId="0" applyNumberFormat="1" applyFont="1" applyFill="1" applyBorder="1"/>
    <xf numFmtId="0" fontId="30" fillId="0" borderId="28" xfId="0" applyNumberFormat="1" applyFont="1" applyFill="1" applyBorder="1"/>
    <xf numFmtId="0" fontId="30" fillId="0" borderId="23" xfId="0" applyNumberFormat="1" applyFont="1" applyFill="1" applyBorder="1"/>
    <xf numFmtId="0" fontId="30" fillId="0" borderId="31" xfId="0" applyNumberFormat="1" applyFont="1" applyFill="1" applyBorder="1"/>
    <xf numFmtId="0" fontId="30" fillId="0" borderId="24" xfId="0" applyNumberFormat="1" applyFont="1" applyFill="1" applyBorder="1"/>
    <xf numFmtId="0" fontId="30" fillId="0" borderId="29" xfId="0" applyNumberFormat="1" applyFont="1" applyFill="1" applyBorder="1"/>
    <xf numFmtId="0" fontId="30" fillId="0" borderId="30" xfId="0" applyNumberFormat="1" applyFont="1" applyFill="1" applyBorder="1"/>
    <xf numFmtId="0" fontId="31" fillId="27" borderId="2" xfId="0" applyNumberFormat="1" applyFont="1" applyFill="1" applyBorder="1" applyAlignment="1">
      <alignment horizontal="center" vertical="center"/>
    </xf>
    <xf numFmtId="0" fontId="34" fillId="0" borderId="0" xfId="0" applyNumberFormat="1" applyFont="1" applyFill="1" applyBorder="1"/>
    <xf numFmtId="0" fontId="36" fillId="0" borderId="0" xfId="676" applyFont="1" applyBorder="1"/>
    <xf numFmtId="0" fontId="37" fillId="0" borderId="0" xfId="676" applyNumberFormat="1" applyFont="1" applyFill="1" applyBorder="1"/>
    <xf numFmtId="0" fontId="37" fillId="0" borderId="0" xfId="0" applyNumberFormat="1" applyFont="1" applyFill="1" applyBorder="1"/>
    <xf numFmtId="0" fontId="36" fillId="0" borderId="0" xfId="676" applyNumberFormat="1" applyFont="1" applyFill="1" applyBorder="1"/>
    <xf numFmtId="14" fontId="30" fillId="0" borderId="0" xfId="0" applyNumberFormat="1" applyFont="1" applyFill="1" applyBorder="1"/>
    <xf numFmtId="14" fontId="31" fillId="27" borderId="2" xfId="0" applyNumberFormat="1" applyFont="1" applyFill="1" applyBorder="1" applyAlignment="1">
      <alignment horizontal="center" vertical="center"/>
    </xf>
    <xf numFmtId="0" fontId="35" fillId="0" borderId="0" xfId="0" applyNumberFormat="1" applyFont="1" applyFill="1" applyBorder="1" applyAlignment="1">
      <alignment horizontal="left"/>
    </xf>
    <xf numFmtId="0" fontId="32" fillId="0" borderId="29" xfId="0" applyNumberFormat="1" applyFont="1" applyFill="1" applyBorder="1"/>
    <xf numFmtId="0" fontId="39" fillId="0" borderId="0" xfId="0" applyFont="1" applyBorder="1" applyAlignment="1"/>
    <xf numFmtId="43" fontId="41" fillId="0" borderId="35" xfId="0" applyNumberFormat="1" applyFont="1" applyBorder="1" applyAlignment="1">
      <alignment horizontal="center"/>
    </xf>
    <xf numFmtId="43" fontId="41" fillId="0" borderId="0" xfId="0" applyNumberFormat="1" applyFont="1" applyBorder="1" applyAlignment="1">
      <alignment horizontal="center"/>
    </xf>
    <xf numFmtId="43" fontId="41" fillId="0" borderId="13" xfId="0" applyNumberFormat="1" applyFont="1" applyBorder="1" applyAlignment="1">
      <alignment horizontal="center"/>
    </xf>
    <xf numFmtId="43" fontId="39" fillId="0" borderId="0" xfId="0" applyNumberFormat="1" applyFont="1" applyBorder="1" applyAlignment="1">
      <alignment horizontal="center"/>
    </xf>
    <xf numFmtId="43" fontId="40" fillId="0" borderId="37" xfId="925" applyFont="1" applyBorder="1" applyAlignment="1"/>
    <xf numFmtId="43" fontId="40" fillId="0" borderId="0" xfId="925" applyFont="1" applyBorder="1" applyAlignment="1"/>
    <xf numFmtId="43" fontId="42" fillId="0" borderId="0" xfId="925" applyFont="1"/>
    <xf numFmtId="0" fontId="39" fillId="0" borderId="0" xfId="0" applyFont="1"/>
    <xf numFmtId="43" fontId="41" fillId="0" borderId="0" xfId="0" applyNumberFormat="1" applyFont="1" applyBorder="1"/>
    <xf numFmtId="0" fontId="31" fillId="27" borderId="26" xfId="0" applyNumberFormat="1" applyFont="1" applyFill="1" applyBorder="1" applyAlignment="1">
      <alignment horizontal="right" vertical="center"/>
    </xf>
    <xf numFmtId="165" fontId="29" fillId="26" borderId="24" xfId="0" applyNumberFormat="1" applyFont="1" applyFill="1" applyBorder="1" applyAlignment="1">
      <alignment horizontal="right" vertical="center" wrapText="1"/>
    </xf>
    <xf numFmtId="43" fontId="43" fillId="0" borderId="36" xfId="0" applyNumberFormat="1" applyFont="1" applyBorder="1" applyAlignment="1">
      <alignment horizontal="center"/>
    </xf>
    <xf numFmtId="43" fontId="45" fillId="0" borderId="36" xfId="0" applyNumberFormat="1" applyFont="1" applyBorder="1" applyAlignment="1">
      <alignment horizontal="center"/>
    </xf>
    <xf numFmtId="0" fontId="31" fillId="27" borderId="34" xfId="0" applyNumberFormat="1" applyFont="1" applyFill="1" applyBorder="1" applyAlignment="1">
      <alignment horizontal="right" vertical="center"/>
    </xf>
    <xf numFmtId="43" fontId="42" fillId="0" borderId="25" xfId="925" applyFont="1" applyBorder="1"/>
    <xf numFmtId="0" fontId="39" fillId="0" borderId="2" xfId="0" applyFont="1" applyBorder="1" applyAlignment="1">
      <alignment horizontal="center"/>
    </xf>
    <xf numFmtId="43" fontId="42" fillId="0" borderId="15" xfId="925" applyFont="1" applyBorder="1"/>
    <xf numFmtId="43" fontId="42" fillId="0" borderId="14" xfId="925" applyFont="1" applyBorder="1"/>
    <xf numFmtId="43" fontId="42" fillId="0" borderId="26" xfId="925" applyFont="1" applyBorder="1"/>
    <xf numFmtId="0" fontId="39" fillId="0" borderId="2" xfId="0" applyFont="1" applyBorder="1" applyAlignment="1">
      <alignment horizontal="center" vertical="center"/>
    </xf>
    <xf numFmtId="43" fontId="42" fillId="0" borderId="13" xfId="925" applyFont="1" applyBorder="1"/>
    <xf numFmtId="43" fontId="39" fillId="0" borderId="26" xfId="925" applyFont="1" applyBorder="1"/>
    <xf numFmtId="0" fontId="0" fillId="0" borderId="2" xfId="0" applyBorder="1" applyAlignment="1">
      <alignment horizontal="center" vertical="center"/>
    </xf>
    <xf numFmtId="0" fontId="38" fillId="27" borderId="25" xfId="0" applyNumberFormat="1" applyFont="1" applyFill="1" applyBorder="1" applyAlignment="1">
      <alignment horizontal="left" vertical="center"/>
    </xf>
    <xf numFmtId="49" fontId="46" fillId="0" borderId="25" xfId="925" applyNumberFormat="1" applyFont="1" applyBorder="1"/>
    <xf numFmtId="0" fontId="35" fillId="0" borderId="0" xfId="0" applyNumberFormat="1" applyFont="1" applyFill="1" applyBorder="1" applyAlignment="1">
      <alignment horizontal="left"/>
    </xf>
    <xf numFmtId="0" fontId="33" fillId="27" borderId="0" xfId="0" applyNumberFormat="1" applyFont="1" applyFill="1" applyBorder="1" applyAlignment="1">
      <alignment horizontal="center" vertical="center" wrapText="1"/>
    </xf>
    <xf numFmtId="165" fontId="0" fillId="26" borderId="16" xfId="0" applyNumberFormat="1" applyFont="1" applyFill="1" applyBorder="1" applyAlignment="1">
      <alignment horizontal="center" vertical="center" wrapText="1"/>
    </xf>
    <xf numFmtId="165" fontId="0" fillId="26" borderId="17" xfId="0" applyNumberFormat="1" applyFont="1" applyFill="1" applyBorder="1" applyAlignment="1">
      <alignment horizontal="center" vertical="center" wrapText="1"/>
    </xf>
    <xf numFmtId="165" fontId="0" fillId="26" borderId="18" xfId="0" applyNumberFormat="1" applyFont="1" applyFill="1" applyBorder="1" applyAlignment="1">
      <alignment horizontal="center" vertical="center" wrapText="1"/>
    </xf>
    <xf numFmtId="165" fontId="0" fillId="26" borderId="19" xfId="0" applyNumberFormat="1" applyFont="1" applyFill="1" applyBorder="1" applyAlignment="1">
      <alignment horizontal="center" vertical="center" wrapText="1"/>
    </xf>
    <xf numFmtId="165" fontId="0" fillId="26" borderId="20" xfId="0" applyNumberFormat="1" applyFont="1" applyFill="1" applyBorder="1" applyAlignment="1">
      <alignment horizontal="center" vertical="center" wrapText="1"/>
    </xf>
    <xf numFmtId="165" fontId="0" fillId="26" borderId="21" xfId="0" applyNumberFormat="1" applyFont="1" applyFill="1" applyBorder="1" applyAlignment="1">
      <alignment horizontal="center" vertical="center" wrapText="1"/>
    </xf>
    <xf numFmtId="0" fontId="38" fillId="27" borderId="40" xfId="0" applyNumberFormat="1" applyFont="1" applyFill="1" applyBorder="1" applyAlignment="1">
      <alignment horizontal="center" vertical="center" textRotation="45" shrinkToFit="1"/>
    </xf>
    <xf numFmtId="0" fontId="38" fillId="27" borderId="38" xfId="0" applyNumberFormat="1" applyFont="1" applyFill="1" applyBorder="1" applyAlignment="1">
      <alignment horizontal="center" vertical="center" textRotation="45" shrinkToFit="1"/>
    </xf>
    <xf numFmtId="0" fontId="38" fillId="27" borderId="39" xfId="0" applyNumberFormat="1" applyFont="1" applyFill="1" applyBorder="1" applyAlignment="1">
      <alignment horizontal="center" vertical="center" textRotation="45" shrinkToFit="1"/>
    </xf>
    <xf numFmtId="165" fontId="0" fillId="0" borderId="0" xfId="0" applyNumberFormat="1" applyFont="1" applyFill="1" applyBorder="1" applyAlignment="1">
      <alignment horizontal="center" vertical="center" wrapText="1"/>
    </xf>
    <xf numFmtId="165" fontId="0" fillId="26" borderId="0" xfId="0" applyNumberFormat="1" applyFont="1" applyFill="1" applyBorder="1" applyAlignment="1">
      <alignment horizontal="center" vertical="center" wrapText="1"/>
    </xf>
    <xf numFmtId="165" fontId="44" fillId="26" borderId="32" xfId="0" applyNumberFormat="1" applyFont="1" applyFill="1" applyBorder="1" applyAlignment="1">
      <alignment horizontal="center" vertical="center" wrapText="1"/>
    </xf>
    <xf numFmtId="165" fontId="44" fillId="26" borderId="33" xfId="0" applyNumberFormat="1" applyFont="1" applyFill="1" applyBorder="1" applyAlignment="1">
      <alignment horizontal="center" vertical="center" wrapText="1"/>
    </xf>
    <xf numFmtId="0" fontId="29" fillId="0" borderId="41" xfId="0" applyFont="1" applyBorder="1" applyAlignment="1">
      <alignment horizontal="right"/>
    </xf>
    <xf numFmtId="0" fontId="29" fillId="0" borderId="42" xfId="0" applyFont="1" applyBorder="1"/>
    <xf numFmtId="0" fontId="0" fillId="0" borderId="42" xfId="0" applyBorder="1"/>
    <xf numFmtId="0" fontId="30" fillId="0" borderId="42" xfId="0" applyNumberFormat="1" applyFont="1" applyFill="1" applyBorder="1"/>
    <xf numFmtId="0" fontId="30" fillId="0" borderId="43" xfId="0" applyNumberFormat="1" applyFont="1" applyFill="1" applyBorder="1"/>
    <xf numFmtId="0" fontId="38" fillId="27" borderId="44" xfId="0" applyNumberFormat="1" applyFont="1" applyFill="1" applyBorder="1" applyAlignment="1">
      <alignment horizontal="left" vertical="center"/>
    </xf>
    <xf numFmtId="0" fontId="38" fillId="27" borderId="45" xfId="0" applyNumberFormat="1" applyFont="1" applyFill="1" applyBorder="1" applyAlignment="1">
      <alignment horizontal="left" vertical="center"/>
    </xf>
    <xf numFmtId="0" fontId="38" fillId="27" borderId="46" xfId="0" applyNumberFormat="1" applyFont="1" applyFill="1" applyBorder="1" applyAlignment="1">
      <alignment horizontal="left" vertical="center"/>
    </xf>
  </cellXfs>
  <cellStyles count="926">
    <cellStyle name="=C:\WINNT\SYSTEM32\COMMAND.COM" xfId="1" xr:uid="{00000000-0005-0000-0000-000000000000}"/>
    <cellStyle name="=C:\WINNT\SYSTEM32\COMMAND.COM 2" xfId="2" xr:uid="{00000000-0005-0000-0000-000001000000}"/>
    <cellStyle name="20% - Accent1 2" xfId="3" xr:uid="{00000000-0005-0000-0000-000002000000}"/>
    <cellStyle name="20% - Accent1 2 10" xfId="4" xr:uid="{00000000-0005-0000-0000-000003000000}"/>
    <cellStyle name="20% - Accent1 2 2" xfId="5" xr:uid="{00000000-0005-0000-0000-000004000000}"/>
    <cellStyle name="20% - Accent1 2 2 2" xfId="6" xr:uid="{00000000-0005-0000-0000-000005000000}"/>
    <cellStyle name="20% - Accent1 2 2 2 2" xfId="7" xr:uid="{00000000-0005-0000-0000-000006000000}"/>
    <cellStyle name="20% - Accent1 2 2 3" xfId="8" xr:uid="{00000000-0005-0000-0000-000007000000}"/>
    <cellStyle name="20% - Accent1 2 3" xfId="9" xr:uid="{00000000-0005-0000-0000-000008000000}"/>
    <cellStyle name="20% - Accent1 2 3 2" xfId="10" xr:uid="{00000000-0005-0000-0000-000009000000}"/>
    <cellStyle name="20% - Accent1 2 3 2 2" xfId="11" xr:uid="{00000000-0005-0000-0000-00000A000000}"/>
    <cellStyle name="20% - Accent1 2 3 3" xfId="12" xr:uid="{00000000-0005-0000-0000-00000B000000}"/>
    <cellStyle name="20% - Accent1 2 4" xfId="13" xr:uid="{00000000-0005-0000-0000-00000C000000}"/>
    <cellStyle name="20% - Accent1 2 4 2" xfId="14" xr:uid="{00000000-0005-0000-0000-00000D000000}"/>
    <cellStyle name="20% - Accent1 2 4 2 2" xfId="15" xr:uid="{00000000-0005-0000-0000-00000E000000}"/>
    <cellStyle name="20% - Accent1 2 4 3" xfId="16" xr:uid="{00000000-0005-0000-0000-00000F000000}"/>
    <cellStyle name="20% - Accent1 2 5" xfId="17" xr:uid="{00000000-0005-0000-0000-000010000000}"/>
    <cellStyle name="20% - Accent1 2 5 2" xfId="18" xr:uid="{00000000-0005-0000-0000-000011000000}"/>
    <cellStyle name="20% - Accent1 2 5 2 2" xfId="19" xr:uid="{00000000-0005-0000-0000-000012000000}"/>
    <cellStyle name="20% - Accent1 2 5 3" xfId="20" xr:uid="{00000000-0005-0000-0000-000013000000}"/>
    <cellStyle name="20% - Accent1 2 6" xfId="21" xr:uid="{00000000-0005-0000-0000-000014000000}"/>
    <cellStyle name="20% - Accent1 2 6 2" xfId="22" xr:uid="{00000000-0005-0000-0000-000015000000}"/>
    <cellStyle name="20% - Accent1 2 6 2 2" xfId="23" xr:uid="{00000000-0005-0000-0000-000016000000}"/>
    <cellStyle name="20% - Accent1 2 6 3" xfId="24" xr:uid="{00000000-0005-0000-0000-000017000000}"/>
    <cellStyle name="20% - Accent1 2 7" xfId="25" xr:uid="{00000000-0005-0000-0000-000018000000}"/>
    <cellStyle name="20% - Accent1 2 7 2" xfId="26" xr:uid="{00000000-0005-0000-0000-000019000000}"/>
    <cellStyle name="20% - Accent1 2 7 2 2" xfId="27" xr:uid="{00000000-0005-0000-0000-00001A000000}"/>
    <cellStyle name="20% - Accent1 2 7 3" xfId="28" xr:uid="{00000000-0005-0000-0000-00001B000000}"/>
    <cellStyle name="20% - Accent1 2 8" xfId="29" xr:uid="{00000000-0005-0000-0000-00001C000000}"/>
    <cellStyle name="20% - Accent1 2 8 2" xfId="30" xr:uid="{00000000-0005-0000-0000-00001D000000}"/>
    <cellStyle name="20% - Accent1 2 8 2 2" xfId="31" xr:uid="{00000000-0005-0000-0000-00001E000000}"/>
    <cellStyle name="20% - Accent1 2 8 3" xfId="32" xr:uid="{00000000-0005-0000-0000-00001F000000}"/>
    <cellStyle name="20% - Accent1 2 9" xfId="33" xr:uid="{00000000-0005-0000-0000-000020000000}"/>
    <cellStyle name="20% - Accent1 2 9 2" xfId="34" xr:uid="{00000000-0005-0000-0000-000021000000}"/>
    <cellStyle name="20% - Accent1 2 9 2 2" xfId="35" xr:uid="{00000000-0005-0000-0000-000022000000}"/>
    <cellStyle name="20% - Accent1 2 9 3" xfId="36" xr:uid="{00000000-0005-0000-0000-000023000000}"/>
    <cellStyle name="20% - Accent2 2" xfId="37" xr:uid="{00000000-0005-0000-0000-000024000000}"/>
    <cellStyle name="20% - Accent2 2 10" xfId="38" xr:uid="{00000000-0005-0000-0000-000025000000}"/>
    <cellStyle name="20% - Accent2 2 2" xfId="39" xr:uid="{00000000-0005-0000-0000-000026000000}"/>
    <cellStyle name="20% - Accent2 2 2 2" xfId="40" xr:uid="{00000000-0005-0000-0000-000027000000}"/>
    <cellStyle name="20% - Accent2 2 2 2 2" xfId="41" xr:uid="{00000000-0005-0000-0000-000028000000}"/>
    <cellStyle name="20% - Accent2 2 2 3" xfId="42" xr:uid="{00000000-0005-0000-0000-000029000000}"/>
    <cellStyle name="20% - Accent2 2 3" xfId="43" xr:uid="{00000000-0005-0000-0000-00002A000000}"/>
    <cellStyle name="20% - Accent2 2 3 2" xfId="44" xr:uid="{00000000-0005-0000-0000-00002B000000}"/>
    <cellStyle name="20% - Accent2 2 3 2 2" xfId="45" xr:uid="{00000000-0005-0000-0000-00002C000000}"/>
    <cellStyle name="20% - Accent2 2 3 3" xfId="46" xr:uid="{00000000-0005-0000-0000-00002D000000}"/>
    <cellStyle name="20% - Accent2 2 4" xfId="47" xr:uid="{00000000-0005-0000-0000-00002E000000}"/>
    <cellStyle name="20% - Accent2 2 4 2" xfId="48" xr:uid="{00000000-0005-0000-0000-00002F000000}"/>
    <cellStyle name="20% - Accent2 2 4 2 2" xfId="49" xr:uid="{00000000-0005-0000-0000-000030000000}"/>
    <cellStyle name="20% - Accent2 2 4 3" xfId="50" xr:uid="{00000000-0005-0000-0000-000031000000}"/>
    <cellStyle name="20% - Accent2 2 5" xfId="51" xr:uid="{00000000-0005-0000-0000-000032000000}"/>
    <cellStyle name="20% - Accent2 2 5 2" xfId="52" xr:uid="{00000000-0005-0000-0000-000033000000}"/>
    <cellStyle name="20% - Accent2 2 5 2 2" xfId="53" xr:uid="{00000000-0005-0000-0000-000034000000}"/>
    <cellStyle name="20% - Accent2 2 5 3" xfId="54" xr:uid="{00000000-0005-0000-0000-000035000000}"/>
    <cellStyle name="20% - Accent2 2 6" xfId="55" xr:uid="{00000000-0005-0000-0000-000036000000}"/>
    <cellStyle name="20% - Accent2 2 6 2" xfId="56" xr:uid="{00000000-0005-0000-0000-000037000000}"/>
    <cellStyle name="20% - Accent2 2 6 2 2" xfId="57" xr:uid="{00000000-0005-0000-0000-000038000000}"/>
    <cellStyle name="20% - Accent2 2 6 3" xfId="58" xr:uid="{00000000-0005-0000-0000-000039000000}"/>
    <cellStyle name="20% - Accent2 2 7" xfId="59" xr:uid="{00000000-0005-0000-0000-00003A000000}"/>
    <cellStyle name="20% - Accent2 2 7 2" xfId="60" xr:uid="{00000000-0005-0000-0000-00003B000000}"/>
    <cellStyle name="20% - Accent2 2 7 2 2" xfId="61" xr:uid="{00000000-0005-0000-0000-00003C000000}"/>
    <cellStyle name="20% - Accent2 2 7 3" xfId="62" xr:uid="{00000000-0005-0000-0000-00003D000000}"/>
    <cellStyle name="20% - Accent2 2 8" xfId="63" xr:uid="{00000000-0005-0000-0000-00003E000000}"/>
    <cellStyle name="20% - Accent2 2 8 2" xfId="64" xr:uid="{00000000-0005-0000-0000-00003F000000}"/>
    <cellStyle name="20% - Accent2 2 8 2 2" xfId="65" xr:uid="{00000000-0005-0000-0000-000040000000}"/>
    <cellStyle name="20% - Accent2 2 8 3" xfId="66" xr:uid="{00000000-0005-0000-0000-000041000000}"/>
    <cellStyle name="20% - Accent2 2 9" xfId="67" xr:uid="{00000000-0005-0000-0000-000042000000}"/>
    <cellStyle name="20% - Accent2 2 9 2" xfId="68" xr:uid="{00000000-0005-0000-0000-000043000000}"/>
    <cellStyle name="20% - Accent2 2 9 2 2" xfId="69" xr:uid="{00000000-0005-0000-0000-000044000000}"/>
    <cellStyle name="20% - Accent2 2 9 3" xfId="70" xr:uid="{00000000-0005-0000-0000-000045000000}"/>
    <cellStyle name="20% - Accent3 2" xfId="71" xr:uid="{00000000-0005-0000-0000-000046000000}"/>
    <cellStyle name="20% - Accent3 2 10" xfId="72" xr:uid="{00000000-0005-0000-0000-000047000000}"/>
    <cellStyle name="20% - Accent3 2 2" xfId="73" xr:uid="{00000000-0005-0000-0000-000048000000}"/>
    <cellStyle name="20% - Accent3 2 2 2" xfId="74" xr:uid="{00000000-0005-0000-0000-000049000000}"/>
    <cellStyle name="20% - Accent3 2 2 2 2" xfId="75" xr:uid="{00000000-0005-0000-0000-00004A000000}"/>
    <cellStyle name="20% - Accent3 2 2 3" xfId="76" xr:uid="{00000000-0005-0000-0000-00004B000000}"/>
    <cellStyle name="20% - Accent3 2 3" xfId="77" xr:uid="{00000000-0005-0000-0000-00004C000000}"/>
    <cellStyle name="20% - Accent3 2 3 2" xfId="78" xr:uid="{00000000-0005-0000-0000-00004D000000}"/>
    <cellStyle name="20% - Accent3 2 3 2 2" xfId="79" xr:uid="{00000000-0005-0000-0000-00004E000000}"/>
    <cellStyle name="20% - Accent3 2 3 3" xfId="80" xr:uid="{00000000-0005-0000-0000-00004F000000}"/>
    <cellStyle name="20% - Accent3 2 4" xfId="81" xr:uid="{00000000-0005-0000-0000-000050000000}"/>
    <cellStyle name="20% - Accent3 2 4 2" xfId="82" xr:uid="{00000000-0005-0000-0000-000051000000}"/>
    <cellStyle name="20% - Accent3 2 4 2 2" xfId="83" xr:uid="{00000000-0005-0000-0000-000052000000}"/>
    <cellStyle name="20% - Accent3 2 4 3" xfId="84" xr:uid="{00000000-0005-0000-0000-000053000000}"/>
    <cellStyle name="20% - Accent3 2 5" xfId="85" xr:uid="{00000000-0005-0000-0000-000054000000}"/>
    <cellStyle name="20% - Accent3 2 5 2" xfId="86" xr:uid="{00000000-0005-0000-0000-000055000000}"/>
    <cellStyle name="20% - Accent3 2 5 2 2" xfId="87" xr:uid="{00000000-0005-0000-0000-000056000000}"/>
    <cellStyle name="20% - Accent3 2 5 3" xfId="88" xr:uid="{00000000-0005-0000-0000-000057000000}"/>
    <cellStyle name="20% - Accent3 2 6" xfId="89" xr:uid="{00000000-0005-0000-0000-000058000000}"/>
    <cellStyle name="20% - Accent3 2 6 2" xfId="90" xr:uid="{00000000-0005-0000-0000-000059000000}"/>
    <cellStyle name="20% - Accent3 2 6 2 2" xfId="91" xr:uid="{00000000-0005-0000-0000-00005A000000}"/>
    <cellStyle name="20% - Accent3 2 6 3" xfId="92" xr:uid="{00000000-0005-0000-0000-00005B000000}"/>
    <cellStyle name="20% - Accent3 2 7" xfId="93" xr:uid="{00000000-0005-0000-0000-00005C000000}"/>
    <cellStyle name="20% - Accent3 2 7 2" xfId="94" xr:uid="{00000000-0005-0000-0000-00005D000000}"/>
    <cellStyle name="20% - Accent3 2 7 2 2" xfId="95" xr:uid="{00000000-0005-0000-0000-00005E000000}"/>
    <cellStyle name="20% - Accent3 2 7 3" xfId="96" xr:uid="{00000000-0005-0000-0000-00005F000000}"/>
    <cellStyle name="20% - Accent3 2 8" xfId="97" xr:uid="{00000000-0005-0000-0000-000060000000}"/>
    <cellStyle name="20% - Accent3 2 8 2" xfId="98" xr:uid="{00000000-0005-0000-0000-000061000000}"/>
    <cellStyle name="20% - Accent3 2 8 2 2" xfId="99" xr:uid="{00000000-0005-0000-0000-000062000000}"/>
    <cellStyle name="20% - Accent3 2 8 3" xfId="100" xr:uid="{00000000-0005-0000-0000-000063000000}"/>
    <cellStyle name="20% - Accent3 2 9" xfId="101" xr:uid="{00000000-0005-0000-0000-000064000000}"/>
    <cellStyle name="20% - Accent3 2 9 2" xfId="102" xr:uid="{00000000-0005-0000-0000-000065000000}"/>
    <cellStyle name="20% - Accent3 2 9 2 2" xfId="103" xr:uid="{00000000-0005-0000-0000-000066000000}"/>
    <cellStyle name="20% - Accent3 2 9 3" xfId="104" xr:uid="{00000000-0005-0000-0000-000067000000}"/>
    <cellStyle name="20% - Accent4 2" xfId="105" xr:uid="{00000000-0005-0000-0000-000068000000}"/>
    <cellStyle name="20% - Accent4 2 10" xfId="106" xr:uid="{00000000-0005-0000-0000-000069000000}"/>
    <cellStyle name="20% - Accent4 2 2" xfId="107" xr:uid="{00000000-0005-0000-0000-00006A000000}"/>
    <cellStyle name="20% - Accent4 2 2 2" xfId="108" xr:uid="{00000000-0005-0000-0000-00006B000000}"/>
    <cellStyle name="20% - Accent4 2 2 2 2" xfId="109" xr:uid="{00000000-0005-0000-0000-00006C000000}"/>
    <cellStyle name="20% - Accent4 2 2 3" xfId="110" xr:uid="{00000000-0005-0000-0000-00006D000000}"/>
    <cellStyle name="20% - Accent4 2 3" xfId="111" xr:uid="{00000000-0005-0000-0000-00006E000000}"/>
    <cellStyle name="20% - Accent4 2 3 2" xfId="112" xr:uid="{00000000-0005-0000-0000-00006F000000}"/>
    <cellStyle name="20% - Accent4 2 3 2 2" xfId="113" xr:uid="{00000000-0005-0000-0000-000070000000}"/>
    <cellStyle name="20% - Accent4 2 3 3" xfId="114" xr:uid="{00000000-0005-0000-0000-000071000000}"/>
    <cellStyle name="20% - Accent4 2 4" xfId="115" xr:uid="{00000000-0005-0000-0000-000072000000}"/>
    <cellStyle name="20% - Accent4 2 4 2" xfId="116" xr:uid="{00000000-0005-0000-0000-000073000000}"/>
    <cellStyle name="20% - Accent4 2 4 2 2" xfId="117" xr:uid="{00000000-0005-0000-0000-000074000000}"/>
    <cellStyle name="20% - Accent4 2 4 3" xfId="118" xr:uid="{00000000-0005-0000-0000-000075000000}"/>
    <cellStyle name="20% - Accent4 2 5" xfId="119" xr:uid="{00000000-0005-0000-0000-000076000000}"/>
    <cellStyle name="20% - Accent4 2 5 2" xfId="120" xr:uid="{00000000-0005-0000-0000-000077000000}"/>
    <cellStyle name="20% - Accent4 2 5 2 2" xfId="121" xr:uid="{00000000-0005-0000-0000-000078000000}"/>
    <cellStyle name="20% - Accent4 2 5 3" xfId="122" xr:uid="{00000000-0005-0000-0000-000079000000}"/>
    <cellStyle name="20% - Accent4 2 6" xfId="123" xr:uid="{00000000-0005-0000-0000-00007A000000}"/>
    <cellStyle name="20% - Accent4 2 6 2" xfId="124" xr:uid="{00000000-0005-0000-0000-00007B000000}"/>
    <cellStyle name="20% - Accent4 2 6 2 2" xfId="125" xr:uid="{00000000-0005-0000-0000-00007C000000}"/>
    <cellStyle name="20% - Accent4 2 6 3" xfId="126" xr:uid="{00000000-0005-0000-0000-00007D000000}"/>
    <cellStyle name="20% - Accent4 2 7" xfId="127" xr:uid="{00000000-0005-0000-0000-00007E000000}"/>
    <cellStyle name="20% - Accent4 2 7 2" xfId="128" xr:uid="{00000000-0005-0000-0000-00007F000000}"/>
    <cellStyle name="20% - Accent4 2 7 2 2" xfId="129" xr:uid="{00000000-0005-0000-0000-000080000000}"/>
    <cellStyle name="20% - Accent4 2 7 3" xfId="130" xr:uid="{00000000-0005-0000-0000-000081000000}"/>
    <cellStyle name="20% - Accent4 2 8" xfId="131" xr:uid="{00000000-0005-0000-0000-000082000000}"/>
    <cellStyle name="20% - Accent4 2 8 2" xfId="132" xr:uid="{00000000-0005-0000-0000-000083000000}"/>
    <cellStyle name="20% - Accent4 2 8 2 2" xfId="133" xr:uid="{00000000-0005-0000-0000-000084000000}"/>
    <cellStyle name="20% - Accent4 2 8 3" xfId="134" xr:uid="{00000000-0005-0000-0000-000085000000}"/>
    <cellStyle name="20% - Accent4 2 9" xfId="135" xr:uid="{00000000-0005-0000-0000-000086000000}"/>
    <cellStyle name="20% - Accent4 2 9 2" xfId="136" xr:uid="{00000000-0005-0000-0000-000087000000}"/>
    <cellStyle name="20% - Accent4 2 9 2 2" xfId="137" xr:uid="{00000000-0005-0000-0000-000088000000}"/>
    <cellStyle name="20% - Accent4 2 9 3" xfId="138" xr:uid="{00000000-0005-0000-0000-000089000000}"/>
    <cellStyle name="20% - Accent5 2" xfId="139" xr:uid="{00000000-0005-0000-0000-00008A000000}"/>
    <cellStyle name="20% - Accent5 2 10" xfId="140" xr:uid="{00000000-0005-0000-0000-00008B000000}"/>
    <cellStyle name="20% - Accent5 2 2" xfId="141" xr:uid="{00000000-0005-0000-0000-00008C000000}"/>
    <cellStyle name="20% - Accent5 2 2 2" xfId="142" xr:uid="{00000000-0005-0000-0000-00008D000000}"/>
    <cellStyle name="20% - Accent5 2 2 2 2" xfId="143" xr:uid="{00000000-0005-0000-0000-00008E000000}"/>
    <cellStyle name="20% - Accent5 2 2 3" xfId="144" xr:uid="{00000000-0005-0000-0000-00008F000000}"/>
    <cellStyle name="20% - Accent5 2 3" xfId="145" xr:uid="{00000000-0005-0000-0000-000090000000}"/>
    <cellStyle name="20% - Accent5 2 3 2" xfId="146" xr:uid="{00000000-0005-0000-0000-000091000000}"/>
    <cellStyle name="20% - Accent5 2 3 2 2" xfId="147" xr:uid="{00000000-0005-0000-0000-000092000000}"/>
    <cellStyle name="20% - Accent5 2 3 3" xfId="148" xr:uid="{00000000-0005-0000-0000-000093000000}"/>
    <cellStyle name="20% - Accent5 2 4" xfId="149" xr:uid="{00000000-0005-0000-0000-000094000000}"/>
    <cellStyle name="20% - Accent5 2 4 2" xfId="150" xr:uid="{00000000-0005-0000-0000-000095000000}"/>
    <cellStyle name="20% - Accent5 2 4 2 2" xfId="151" xr:uid="{00000000-0005-0000-0000-000096000000}"/>
    <cellStyle name="20% - Accent5 2 4 3" xfId="152" xr:uid="{00000000-0005-0000-0000-000097000000}"/>
    <cellStyle name="20% - Accent5 2 5" xfId="153" xr:uid="{00000000-0005-0000-0000-000098000000}"/>
    <cellStyle name="20% - Accent5 2 5 2" xfId="154" xr:uid="{00000000-0005-0000-0000-000099000000}"/>
    <cellStyle name="20% - Accent5 2 5 2 2" xfId="155" xr:uid="{00000000-0005-0000-0000-00009A000000}"/>
    <cellStyle name="20% - Accent5 2 5 3" xfId="156" xr:uid="{00000000-0005-0000-0000-00009B000000}"/>
    <cellStyle name="20% - Accent5 2 6" xfId="157" xr:uid="{00000000-0005-0000-0000-00009C000000}"/>
    <cellStyle name="20% - Accent5 2 6 2" xfId="158" xr:uid="{00000000-0005-0000-0000-00009D000000}"/>
    <cellStyle name="20% - Accent5 2 6 2 2" xfId="159" xr:uid="{00000000-0005-0000-0000-00009E000000}"/>
    <cellStyle name="20% - Accent5 2 6 3" xfId="160" xr:uid="{00000000-0005-0000-0000-00009F000000}"/>
    <cellStyle name="20% - Accent5 2 7" xfId="161" xr:uid="{00000000-0005-0000-0000-0000A0000000}"/>
    <cellStyle name="20% - Accent5 2 7 2" xfId="162" xr:uid="{00000000-0005-0000-0000-0000A1000000}"/>
    <cellStyle name="20% - Accent5 2 7 2 2" xfId="163" xr:uid="{00000000-0005-0000-0000-0000A2000000}"/>
    <cellStyle name="20% - Accent5 2 7 3" xfId="164" xr:uid="{00000000-0005-0000-0000-0000A3000000}"/>
    <cellStyle name="20% - Accent5 2 8" xfId="165" xr:uid="{00000000-0005-0000-0000-0000A4000000}"/>
    <cellStyle name="20% - Accent5 2 8 2" xfId="166" xr:uid="{00000000-0005-0000-0000-0000A5000000}"/>
    <cellStyle name="20% - Accent5 2 8 2 2" xfId="167" xr:uid="{00000000-0005-0000-0000-0000A6000000}"/>
    <cellStyle name="20% - Accent5 2 8 3" xfId="168" xr:uid="{00000000-0005-0000-0000-0000A7000000}"/>
    <cellStyle name="20% - Accent5 2 9" xfId="169" xr:uid="{00000000-0005-0000-0000-0000A8000000}"/>
    <cellStyle name="20% - Accent5 2 9 2" xfId="170" xr:uid="{00000000-0005-0000-0000-0000A9000000}"/>
    <cellStyle name="20% - Accent5 2 9 2 2" xfId="171" xr:uid="{00000000-0005-0000-0000-0000AA000000}"/>
    <cellStyle name="20% - Accent5 2 9 3" xfId="172" xr:uid="{00000000-0005-0000-0000-0000AB000000}"/>
    <cellStyle name="20% - Accent6 2" xfId="173" xr:uid="{00000000-0005-0000-0000-0000AC000000}"/>
    <cellStyle name="20% - Accent6 2 10" xfId="174" xr:uid="{00000000-0005-0000-0000-0000AD000000}"/>
    <cellStyle name="20% - Accent6 2 2" xfId="175" xr:uid="{00000000-0005-0000-0000-0000AE000000}"/>
    <cellStyle name="20% - Accent6 2 2 2" xfId="176" xr:uid="{00000000-0005-0000-0000-0000AF000000}"/>
    <cellStyle name="20% - Accent6 2 2 2 2" xfId="177" xr:uid="{00000000-0005-0000-0000-0000B0000000}"/>
    <cellStyle name="20% - Accent6 2 2 3" xfId="178" xr:uid="{00000000-0005-0000-0000-0000B1000000}"/>
    <cellStyle name="20% - Accent6 2 3" xfId="179" xr:uid="{00000000-0005-0000-0000-0000B2000000}"/>
    <cellStyle name="20% - Accent6 2 3 2" xfId="180" xr:uid="{00000000-0005-0000-0000-0000B3000000}"/>
    <cellStyle name="20% - Accent6 2 3 2 2" xfId="181" xr:uid="{00000000-0005-0000-0000-0000B4000000}"/>
    <cellStyle name="20% - Accent6 2 3 3" xfId="182" xr:uid="{00000000-0005-0000-0000-0000B5000000}"/>
    <cellStyle name="20% - Accent6 2 4" xfId="183" xr:uid="{00000000-0005-0000-0000-0000B6000000}"/>
    <cellStyle name="20% - Accent6 2 4 2" xfId="184" xr:uid="{00000000-0005-0000-0000-0000B7000000}"/>
    <cellStyle name="20% - Accent6 2 4 2 2" xfId="185" xr:uid="{00000000-0005-0000-0000-0000B8000000}"/>
    <cellStyle name="20% - Accent6 2 4 3" xfId="186" xr:uid="{00000000-0005-0000-0000-0000B9000000}"/>
    <cellStyle name="20% - Accent6 2 5" xfId="187" xr:uid="{00000000-0005-0000-0000-0000BA000000}"/>
    <cellStyle name="20% - Accent6 2 5 2" xfId="188" xr:uid="{00000000-0005-0000-0000-0000BB000000}"/>
    <cellStyle name="20% - Accent6 2 5 2 2" xfId="189" xr:uid="{00000000-0005-0000-0000-0000BC000000}"/>
    <cellStyle name="20% - Accent6 2 5 3" xfId="190" xr:uid="{00000000-0005-0000-0000-0000BD000000}"/>
    <cellStyle name="20% - Accent6 2 6" xfId="191" xr:uid="{00000000-0005-0000-0000-0000BE000000}"/>
    <cellStyle name="20% - Accent6 2 6 2" xfId="192" xr:uid="{00000000-0005-0000-0000-0000BF000000}"/>
    <cellStyle name="20% - Accent6 2 6 2 2" xfId="193" xr:uid="{00000000-0005-0000-0000-0000C0000000}"/>
    <cellStyle name="20% - Accent6 2 6 3" xfId="194" xr:uid="{00000000-0005-0000-0000-0000C1000000}"/>
    <cellStyle name="20% - Accent6 2 7" xfId="195" xr:uid="{00000000-0005-0000-0000-0000C2000000}"/>
    <cellStyle name="20% - Accent6 2 7 2" xfId="196" xr:uid="{00000000-0005-0000-0000-0000C3000000}"/>
    <cellStyle name="20% - Accent6 2 7 2 2" xfId="197" xr:uid="{00000000-0005-0000-0000-0000C4000000}"/>
    <cellStyle name="20% - Accent6 2 7 3" xfId="198" xr:uid="{00000000-0005-0000-0000-0000C5000000}"/>
    <cellStyle name="20% - Accent6 2 8" xfId="199" xr:uid="{00000000-0005-0000-0000-0000C6000000}"/>
    <cellStyle name="20% - Accent6 2 8 2" xfId="200" xr:uid="{00000000-0005-0000-0000-0000C7000000}"/>
    <cellStyle name="20% - Accent6 2 8 2 2" xfId="201" xr:uid="{00000000-0005-0000-0000-0000C8000000}"/>
    <cellStyle name="20% - Accent6 2 8 3" xfId="202" xr:uid="{00000000-0005-0000-0000-0000C9000000}"/>
    <cellStyle name="20% - Accent6 2 9" xfId="203" xr:uid="{00000000-0005-0000-0000-0000CA000000}"/>
    <cellStyle name="20% - Accent6 2 9 2" xfId="204" xr:uid="{00000000-0005-0000-0000-0000CB000000}"/>
    <cellStyle name="20% - Accent6 2 9 2 2" xfId="205" xr:uid="{00000000-0005-0000-0000-0000CC000000}"/>
    <cellStyle name="20% - Accent6 2 9 3" xfId="206" xr:uid="{00000000-0005-0000-0000-0000CD000000}"/>
    <cellStyle name="40% - Accent1 2" xfId="207" xr:uid="{00000000-0005-0000-0000-0000CE000000}"/>
    <cellStyle name="40% - Accent1 2 10" xfId="208" xr:uid="{00000000-0005-0000-0000-0000CF000000}"/>
    <cellStyle name="40% - Accent1 2 2" xfId="209" xr:uid="{00000000-0005-0000-0000-0000D0000000}"/>
    <cellStyle name="40% - Accent1 2 2 2" xfId="210" xr:uid="{00000000-0005-0000-0000-0000D1000000}"/>
    <cellStyle name="40% - Accent1 2 2 2 2" xfId="211" xr:uid="{00000000-0005-0000-0000-0000D2000000}"/>
    <cellStyle name="40% - Accent1 2 2 3" xfId="212" xr:uid="{00000000-0005-0000-0000-0000D3000000}"/>
    <cellStyle name="40% - Accent1 2 3" xfId="213" xr:uid="{00000000-0005-0000-0000-0000D4000000}"/>
    <cellStyle name="40% - Accent1 2 3 2" xfId="214" xr:uid="{00000000-0005-0000-0000-0000D5000000}"/>
    <cellStyle name="40% - Accent1 2 3 2 2" xfId="215" xr:uid="{00000000-0005-0000-0000-0000D6000000}"/>
    <cellStyle name="40% - Accent1 2 3 3" xfId="216" xr:uid="{00000000-0005-0000-0000-0000D7000000}"/>
    <cellStyle name="40% - Accent1 2 4" xfId="217" xr:uid="{00000000-0005-0000-0000-0000D8000000}"/>
    <cellStyle name="40% - Accent1 2 4 2" xfId="218" xr:uid="{00000000-0005-0000-0000-0000D9000000}"/>
    <cellStyle name="40% - Accent1 2 4 2 2" xfId="219" xr:uid="{00000000-0005-0000-0000-0000DA000000}"/>
    <cellStyle name="40% - Accent1 2 4 3" xfId="220" xr:uid="{00000000-0005-0000-0000-0000DB000000}"/>
    <cellStyle name="40% - Accent1 2 5" xfId="221" xr:uid="{00000000-0005-0000-0000-0000DC000000}"/>
    <cellStyle name="40% - Accent1 2 5 2" xfId="222" xr:uid="{00000000-0005-0000-0000-0000DD000000}"/>
    <cellStyle name="40% - Accent1 2 5 2 2" xfId="223" xr:uid="{00000000-0005-0000-0000-0000DE000000}"/>
    <cellStyle name="40% - Accent1 2 5 3" xfId="224" xr:uid="{00000000-0005-0000-0000-0000DF000000}"/>
    <cellStyle name="40% - Accent1 2 6" xfId="225" xr:uid="{00000000-0005-0000-0000-0000E0000000}"/>
    <cellStyle name="40% - Accent1 2 6 2" xfId="226" xr:uid="{00000000-0005-0000-0000-0000E1000000}"/>
    <cellStyle name="40% - Accent1 2 6 2 2" xfId="227" xr:uid="{00000000-0005-0000-0000-0000E2000000}"/>
    <cellStyle name="40% - Accent1 2 6 3" xfId="228" xr:uid="{00000000-0005-0000-0000-0000E3000000}"/>
    <cellStyle name="40% - Accent1 2 7" xfId="229" xr:uid="{00000000-0005-0000-0000-0000E4000000}"/>
    <cellStyle name="40% - Accent1 2 7 2" xfId="230" xr:uid="{00000000-0005-0000-0000-0000E5000000}"/>
    <cellStyle name="40% - Accent1 2 7 2 2" xfId="231" xr:uid="{00000000-0005-0000-0000-0000E6000000}"/>
    <cellStyle name="40% - Accent1 2 7 3" xfId="232" xr:uid="{00000000-0005-0000-0000-0000E7000000}"/>
    <cellStyle name="40% - Accent1 2 8" xfId="233" xr:uid="{00000000-0005-0000-0000-0000E8000000}"/>
    <cellStyle name="40% - Accent1 2 8 2" xfId="234" xr:uid="{00000000-0005-0000-0000-0000E9000000}"/>
    <cellStyle name="40% - Accent1 2 8 2 2" xfId="235" xr:uid="{00000000-0005-0000-0000-0000EA000000}"/>
    <cellStyle name="40% - Accent1 2 8 3" xfId="236" xr:uid="{00000000-0005-0000-0000-0000EB000000}"/>
    <cellStyle name="40% - Accent1 2 9" xfId="237" xr:uid="{00000000-0005-0000-0000-0000EC000000}"/>
    <cellStyle name="40% - Accent1 2 9 2" xfId="238" xr:uid="{00000000-0005-0000-0000-0000ED000000}"/>
    <cellStyle name="40% - Accent1 2 9 2 2" xfId="239" xr:uid="{00000000-0005-0000-0000-0000EE000000}"/>
    <cellStyle name="40% - Accent1 2 9 3" xfId="240" xr:uid="{00000000-0005-0000-0000-0000EF000000}"/>
    <cellStyle name="40% - Accent2 2" xfId="241" xr:uid="{00000000-0005-0000-0000-0000F0000000}"/>
    <cellStyle name="40% - Accent2 2 10" xfId="242" xr:uid="{00000000-0005-0000-0000-0000F1000000}"/>
    <cellStyle name="40% - Accent2 2 2" xfId="243" xr:uid="{00000000-0005-0000-0000-0000F2000000}"/>
    <cellStyle name="40% - Accent2 2 2 2" xfId="244" xr:uid="{00000000-0005-0000-0000-0000F3000000}"/>
    <cellStyle name="40% - Accent2 2 2 2 2" xfId="245" xr:uid="{00000000-0005-0000-0000-0000F4000000}"/>
    <cellStyle name="40% - Accent2 2 2 3" xfId="246" xr:uid="{00000000-0005-0000-0000-0000F5000000}"/>
    <cellStyle name="40% - Accent2 2 3" xfId="247" xr:uid="{00000000-0005-0000-0000-0000F6000000}"/>
    <cellStyle name="40% - Accent2 2 3 2" xfId="248" xr:uid="{00000000-0005-0000-0000-0000F7000000}"/>
    <cellStyle name="40% - Accent2 2 3 2 2" xfId="249" xr:uid="{00000000-0005-0000-0000-0000F8000000}"/>
    <cellStyle name="40% - Accent2 2 3 3" xfId="250" xr:uid="{00000000-0005-0000-0000-0000F9000000}"/>
    <cellStyle name="40% - Accent2 2 4" xfId="251" xr:uid="{00000000-0005-0000-0000-0000FA000000}"/>
    <cellStyle name="40% - Accent2 2 4 2" xfId="252" xr:uid="{00000000-0005-0000-0000-0000FB000000}"/>
    <cellStyle name="40% - Accent2 2 4 2 2" xfId="253" xr:uid="{00000000-0005-0000-0000-0000FC000000}"/>
    <cellStyle name="40% - Accent2 2 4 3" xfId="254" xr:uid="{00000000-0005-0000-0000-0000FD000000}"/>
    <cellStyle name="40% - Accent2 2 5" xfId="255" xr:uid="{00000000-0005-0000-0000-0000FE000000}"/>
    <cellStyle name="40% - Accent2 2 5 2" xfId="256" xr:uid="{00000000-0005-0000-0000-0000FF000000}"/>
    <cellStyle name="40% - Accent2 2 5 2 2" xfId="257" xr:uid="{00000000-0005-0000-0000-000000010000}"/>
    <cellStyle name="40% - Accent2 2 5 3" xfId="258" xr:uid="{00000000-0005-0000-0000-000001010000}"/>
    <cellStyle name="40% - Accent2 2 6" xfId="259" xr:uid="{00000000-0005-0000-0000-000002010000}"/>
    <cellStyle name="40% - Accent2 2 6 2" xfId="260" xr:uid="{00000000-0005-0000-0000-000003010000}"/>
    <cellStyle name="40% - Accent2 2 6 2 2" xfId="261" xr:uid="{00000000-0005-0000-0000-000004010000}"/>
    <cellStyle name="40% - Accent2 2 6 3" xfId="262" xr:uid="{00000000-0005-0000-0000-000005010000}"/>
    <cellStyle name="40% - Accent2 2 7" xfId="263" xr:uid="{00000000-0005-0000-0000-000006010000}"/>
    <cellStyle name="40% - Accent2 2 7 2" xfId="264" xr:uid="{00000000-0005-0000-0000-000007010000}"/>
    <cellStyle name="40% - Accent2 2 7 2 2" xfId="265" xr:uid="{00000000-0005-0000-0000-000008010000}"/>
    <cellStyle name="40% - Accent2 2 7 3" xfId="266" xr:uid="{00000000-0005-0000-0000-000009010000}"/>
    <cellStyle name="40% - Accent2 2 8" xfId="267" xr:uid="{00000000-0005-0000-0000-00000A010000}"/>
    <cellStyle name="40% - Accent2 2 8 2" xfId="268" xr:uid="{00000000-0005-0000-0000-00000B010000}"/>
    <cellStyle name="40% - Accent2 2 8 2 2" xfId="269" xr:uid="{00000000-0005-0000-0000-00000C010000}"/>
    <cellStyle name="40% - Accent2 2 8 3" xfId="270" xr:uid="{00000000-0005-0000-0000-00000D010000}"/>
    <cellStyle name="40% - Accent2 2 9" xfId="271" xr:uid="{00000000-0005-0000-0000-00000E010000}"/>
    <cellStyle name="40% - Accent2 2 9 2" xfId="272" xr:uid="{00000000-0005-0000-0000-00000F010000}"/>
    <cellStyle name="40% - Accent2 2 9 2 2" xfId="273" xr:uid="{00000000-0005-0000-0000-000010010000}"/>
    <cellStyle name="40% - Accent2 2 9 3" xfId="274" xr:uid="{00000000-0005-0000-0000-000011010000}"/>
    <cellStyle name="40% - Accent3 2" xfId="275" xr:uid="{00000000-0005-0000-0000-000012010000}"/>
    <cellStyle name="40% - Accent3 2 10" xfId="276" xr:uid="{00000000-0005-0000-0000-000013010000}"/>
    <cellStyle name="40% - Accent3 2 2" xfId="277" xr:uid="{00000000-0005-0000-0000-000014010000}"/>
    <cellStyle name="40% - Accent3 2 2 2" xfId="278" xr:uid="{00000000-0005-0000-0000-000015010000}"/>
    <cellStyle name="40% - Accent3 2 2 2 2" xfId="279" xr:uid="{00000000-0005-0000-0000-000016010000}"/>
    <cellStyle name="40% - Accent3 2 2 3" xfId="280" xr:uid="{00000000-0005-0000-0000-000017010000}"/>
    <cellStyle name="40% - Accent3 2 3" xfId="281" xr:uid="{00000000-0005-0000-0000-000018010000}"/>
    <cellStyle name="40% - Accent3 2 3 2" xfId="282" xr:uid="{00000000-0005-0000-0000-000019010000}"/>
    <cellStyle name="40% - Accent3 2 3 2 2" xfId="283" xr:uid="{00000000-0005-0000-0000-00001A010000}"/>
    <cellStyle name="40% - Accent3 2 3 3" xfId="284" xr:uid="{00000000-0005-0000-0000-00001B010000}"/>
    <cellStyle name="40% - Accent3 2 4" xfId="285" xr:uid="{00000000-0005-0000-0000-00001C010000}"/>
    <cellStyle name="40% - Accent3 2 4 2" xfId="286" xr:uid="{00000000-0005-0000-0000-00001D010000}"/>
    <cellStyle name="40% - Accent3 2 4 2 2" xfId="287" xr:uid="{00000000-0005-0000-0000-00001E010000}"/>
    <cellStyle name="40% - Accent3 2 4 3" xfId="288" xr:uid="{00000000-0005-0000-0000-00001F010000}"/>
    <cellStyle name="40% - Accent3 2 5" xfId="289" xr:uid="{00000000-0005-0000-0000-000020010000}"/>
    <cellStyle name="40% - Accent3 2 5 2" xfId="290" xr:uid="{00000000-0005-0000-0000-000021010000}"/>
    <cellStyle name="40% - Accent3 2 5 2 2" xfId="291" xr:uid="{00000000-0005-0000-0000-000022010000}"/>
    <cellStyle name="40% - Accent3 2 5 3" xfId="292" xr:uid="{00000000-0005-0000-0000-000023010000}"/>
    <cellStyle name="40% - Accent3 2 6" xfId="293" xr:uid="{00000000-0005-0000-0000-000024010000}"/>
    <cellStyle name="40% - Accent3 2 6 2" xfId="294" xr:uid="{00000000-0005-0000-0000-000025010000}"/>
    <cellStyle name="40% - Accent3 2 6 2 2" xfId="295" xr:uid="{00000000-0005-0000-0000-000026010000}"/>
    <cellStyle name="40% - Accent3 2 6 3" xfId="296" xr:uid="{00000000-0005-0000-0000-000027010000}"/>
    <cellStyle name="40% - Accent3 2 7" xfId="297" xr:uid="{00000000-0005-0000-0000-000028010000}"/>
    <cellStyle name="40% - Accent3 2 7 2" xfId="298" xr:uid="{00000000-0005-0000-0000-000029010000}"/>
    <cellStyle name="40% - Accent3 2 7 2 2" xfId="299" xr:uid="{00000000-0005-0000-0000-00002A010000}"/>
    <cellStyle name="40% - Accent3 2 7 3" xfId="300" xr:uid="{00000000-0005-0000-0000-00002B010000}"/>
    <cellStyle name="40% - Accent3 2 8" xfId="301" xr:uid="{00000000-0005-0000-0000-00002C010000}"/>
    <cellStyle name="40% - Accent3 2 8 2" xfId="302" xr:uid="{00000000-0005-0000-0000-00002D010000}"/>
    <cellStyle name="40% - Accent3 2 8 2 2" xfId="303" xr:uid="{00000000-0005-0000-0000-00002E010000}"/>
    <cellStyle name="40% - Accent3 2 8 3" xfId="304" xr:uid="{00000000-0005-0000-0000-00002F010000}"/>
    <cellStyle name="40% - Accent3 2 9" xfId="305" xr:uid="{00000000-0005-0000-0000-000030010000}"/>
    <cellStyle name="40% - Accent3 2 9 2" xfId="306" xr:uid="{00000000-0005-0000-0000-000031010000}"/>
    <cellStyle name="40% - Accent3 2 9 2 2" xfId="307" xr:uid="{00000000-0005-0000-0000-000032010000}"/>
    <cellStyle name="40% - Accent3 2 9 3" xfId="308" xr:uid="{00000000-0005-0000-0000-000033010000}"/>
    <cellStyle name="40% - Accent4 2" xfId="309" xr:uid="{00000000-0005-0000-0000-000034010000}"/>
    <cellStyle name="40% - Accent4 2 10" xfId="310" xr:uid="{00000000-0005-0000-0000-000035010000}"/>
    <cellStyle name="40% - Accent4 2 2" xfId="311" xr:uid="{00000000-0005-0000-0000-000036010000}"/>
    <cellStyle name="40% - Accent4 2 2 2" xfId="312" xr:uid="{00000000-0005-0000-0000-000037010000}"/>
    <cellStyle name="40% - Accent4 2 2 2 2" xfId="313" xr:uid="{00000000-0005-0000-0000-000038010000}"/>
    <cellStyle name="40% - Accent4 2 2 3" xfId="314" xr:uid="{00000000-0005-0000-0000-000039010000}"/>
    <cellStyle name="40% - Accent4 2 3" xfId="315" xr:uid="{00000000-0005-0000-0000-00003A010000}"/>
    <cellStyle name="40% - Accent4 2 3 2" xfId="316" xr:uid="{00000000-0005-0000-0000-00003B010000}"/>
    <cellStyle name="40% - Accent4 2 3 2 2" xfId="317" xr:uid="{00000000-0005-0000-0000-00003C010000}"/>
    <cellStyle name="40% - Accent4 2 3 3" xfId="318" xr:uid="{00000000-0005-0000-0000-00003D010000}"/>
    <cellStyle name="40% - Accent4 2 4" xfId="319" xr:uid="{00000000-0005-0000-0000-00003E010000}"/>
    <cellStyle name="40% - Accent4 2 4 2" xfId="320" xr:uid="{00000000-0005-0000-0000-00003F010000}"/>
    <cellStyle name="40% - Accent4 2 4 2 2" xfId="321" xr:uid="{00000000-0005-0000-0000-000040010000}"/>
    <cellStyle name="40% - Accent4 2 4 3" xfId="322" xr:uid="{00000000-0005-0000-0000-000041010000}"/>
    <cellStyle name="40% - Accent4 2 5" xfId="323" xr:uid="{00000000-0005-0000-0000-000042010000}"/>
    <cellStyle name="40% - Accent4 2 5 2" xfId="324" xr:uid="{00000000-0005-0000-0000-000043010000}"/>
    <cellStyle name="40% - Accent4 2 5 2 2" xfId="325" xr:uid="{00000000-0005-0000-0000-000044010000}"/>
    <cellStyle name="40% - Accent4 2 5 3" xfId="326" xr:uid="{00000000-0005-0000-0000-000045010000}"/>
    <cellStyle name="40% - Accent4 2 6" xfId="327" xr:uid="{00000000-0005-0000-0000-000046010000}"/>
    <cellStyle name="40% - Accent4 2 6 2" xfId="328" xr:uid="{00000000-0005-0000-0000-000047010000}"/>
    <cellStyle name="40% - Accent4 2 6 2 2" xfId="329" xr:uid="{00000000-0005-0000-0000-000048010000}"/>
    <cellStyle name="40% - Accent4 2 6 3" xfId="330" xr:uid="{00000000-0005-0000-0000-000049010000}"/>
    <cellStyle name="40% - Accent4 2 7" xfId="331" xr:uid="{00000000-0005-0000-0000-00004A010000}"/>
    <cellStyle name="40% - Accent4 2 7 2" xfId="332" xr:uid="{00000000-0005-0000-0000-00004B010000}"/>
    <cellStyle name="40% - Accent4 2 7 2 2" xfId="333" xr:uid="{00000000-0005-0000-0000-00004C010000}"/>
    <cellStyle name="40% - Accent4 2 7 3" xfId="334" xr:uid="{00000000-0005-0000-0000-00004D010000}"/>
    <cellStyle name="40% - Accent4 2 8" xfId="335" xr:uid="{00000000-0005-0000-0000-00004E010000}"/>
    <cellStyle name="40% - Accent4 2 8 2" xfId="336" xr:uid="{00000000-0005-0000-0000-00004F010000}"/>
    <cellStyle name="40% - Accent4 2 8 2 2" xfId="337" xr:uid="{00000000-0005-0000-0000-000050010000}"/>
    <cellStyle name="40% - Accent4 2 8 3" xfId="338" xr:uid="{00000000-0005-0000-0000-000051010000}"/>
    <cellStyle name="40% - Accent4 2 9" xfId="339" xr:uid="{00000000-0005-0000-0000-000052010000}"/>
    <cellStyle name="40% - Accent4 2 9 2" xfId="340" xr:uid="{00000000-0005-0000-0000-000053010000}"/>
    <cellStyle name="40% - Accent4 2 9 2 2" xfId="341" xr:uid="{00000000-0005-0000-0000-000054010000}"/>
    <cellStyle name="40% - Accent4 2 9 3" xfId="342" xr:uid="{00000000-0005-0000-0000-000055010000}"/>
    <cellStyle name="40% - Accent5 2" xfId="343" xr:uid="{00000000-0005-0000-0000-000056010000}"/>
    <cellStyle name="40% - Accent5 2 10" xfId="344" xr:uid="{00000000-0005-0000-0000-000057010000}"/>
    <cellStyle name="40% - Accent5 2 2" xfId="345" xr:uid="{00000000-0005-0000-0000-000058010000}"/>
    <cellStyle name="40% - Accent5 2 2 2" xfId="346" xr:uid="{00000000-0005-0000-0000-000059010000}"/>
    <cellStyle name="40% - Accent5 2 2 2 2" xfId="347" xr:uid="{00000000-0005-0000-0000-00005A010000}"/>
    <cellStyle name="40% - Accent5 2 2 3" xfId="348" xr:uid="{00000000-0005-0000-0000-00005B010000}"/>
    <cellStyle name="40% - Accent5 2 3" xfId="349" xr:uid="{00000000-0005-0000-0000-00005C010000}"/>
    <cellStyle name="40% - Accent5 2 3 2" xfId="350" xr:uid="{00000000-0005-0000-0000-00005D010000}"/>
    <cellStyle name="40% - Accent5 2 3 2 2" xfId="351" xr:uid="{00000000-0005-0000-0000-00005E010000}"/>
    <cellStyle name="40% - Accent5 2 3 3" xfId="352" xr:uid="{00000000-0005-0000-0000-00005F010000}"/>
    <cellStyle name="40% - Accent5 2 4" xfId="353" xr:uid="{00000000-0005-0000-0000-000060010000}"/>
    <cellStyle name="40% - Accent5 2 4 2" xfId="354" xr:uid="{00000000-0005-0000-0000-000061010000}"/>
    <cellStyle name="40% - Accent5 2 4 2 2" xfId="355" xr:uid="{00000000-0005-0000-0000-000062010000}"/>
    <cellStyle name="40% - Accent5 2 4 3" xfId="356" xr:uid="{00000000-0005-0000-0000-000063010000}"/>
    <cellStyle name="40% - Accent5 2 5" xfId="357" xr:uid="{00000000-0005-0000-0000-000064010000}"/>
    <cellStyle name="40% - Accent5 2 5 2" xfId="358" xr:uid="{00000000-0005-0000-0000-000065010000}"/>
    <cellStyle name="40% - Accent5 2 5 2 2" xfId="359" xr:uid="{00000000-0005-0000-0000-000066010000}"/>
    <cellStyle name="40% - Accent5 2 5 3" xfId="360" xr:uid="{00000000-0005-0000-0000-000067010000}"/>
    <cellStyle name="40% - Accent5 2 6" xfId="361" xr:uid="{00000000-0005-0000-0000-000068010000}"/>
    <cellStyle name="40% - Accent5 2 6 2" xfId="362" xr:uid="{00000000-0005-0000-0000-000069010000}"/>
    <cellStyle name="40% - Accent5 2 6 2 2" xfId="363" xr:uid="{00000000-0005-0000-0000-00006A010000}"/>
    <cellStyle name="40% - Accent5 2 6 3" xfId="364" xr:uid="{00000000-0005-0000-0000-00006B010000}"/>
    <cellStyle name="40% - Accent5 2 7" xfId="365" xr:uid="{00000000-0005-0000-0000-00006C010000}"/>
    <cellStyle name="40% - Accent5 2 7 2" xfId="366" xr:uid="{00000000-0005-0000-0000-00006D010000}"/>
    <cellStyle name="40% - Accent5 2 7 2 2" xfId="367" xr:uid="{00000000-0005-0000-0000-00006E010000}"/>
    <cellStyle name="40% - Accent5 2 7 3" xfId="368" xr:uid="{00000000-0005-0000-0000-00006F010000}"/>
    <cellStyle name="40% - Accent5 2 8" xfId="369" xr:uid="{00000000-0005-0000-0000-000070010000}"/>
    <cellStyle name="40% - Accent5 2 8 2" xfId="370" xr:uid="{00000000-0005-0000-0000-000071010000}"/>
    <cellStyle name="40% - Accent5 2 8 2 2" xfId="371" xr:uid="{00000000-0005-0000-0000-000072010000}"/>
    <cellStyle name="40% - Accent5 2 8 3" xfId="372" xr:uid="{00000000-0005-0000-0000-000073010000}"/>
    <cellStyle name="40% - Accent5 2 9" xfId="373" xr:uid="{00000000-0005-0000-0000-000074010000}"/>
    <cellStyle name="40% - Accent5 2 9 2" xfId="374" xr:uid="{00000000-0005-0000-0000-000075010000}"/>
    <cellStyle name="40% - Accent5 2 9 2 2" xfId="375" xr:uid="{00000000-0005-0000-0000-000076010000}"/>
    <cellStyle name="40% - Accent5 2 9 3" xfId="376" xr:uid="{00000000-0005-0000-0000-000077010000}"/>
    <cellStyle name="40% - Accent6 2" xfId="377" xr:uid="{00000000-0005-0000-0000-000078010000}"/>
    <cellStyle name="40% - Accent6 2 10" xfId="378" xr:uid="{00000000-0005-0000-0000-000079010000}"/>
    <cellStyle name="40% - Accent6 2 2" xfId="379" xr:uid="{00000000-0005-0000-0000-00007A010000}"/>
    <cellStyle name="40% - Accent6 2 2 2" xfId="380" xr:uid="{00000000-0005-0000-0000-00007B010000}"/>
    <cellStyle name="40% - Accent6 2 2 2 2" xfId="381" xr:uid="{00000000-0005-0000-0000-00007C010000}"/>
    <cellStyle name="40% - Accent6 2 2 3" xfId="382" xr:uid="{00000000-0005-0000-0000-00007D010000}"/>
    <cellStyle name="40% - Accent6 2 3" xfId="383" xr:uid="{00000000-0005-0000-0000-00007E010000}"/>
    <cellStyle name="40% - Accent6 2 3 2" xfId="384" xr:uid="{00000000-0005-0000-0000-00007F010000}"/>
    <cellStyle name="40% - Accent6 2 3 2 2" xfId="385" xr:uid="{00000000-0005-0000-0000-000080010000}"/>
    <cellStyle name="40% - Accent6 2 3 3" xfId="386" xr:uid="{00000000-0005-0000-0000-000081010000}"/>
    <cellStyle name="40% - Accent6 2 4" xfId="387" xr:uid="{00000000-0005-0000-0000-000082010000}"/>
    <cellStyle name="40% - Accent6 2 4 2" xfId="388" xr:uid="{00000000-0005-0000-0000-000083010000}"/>
    <cellStyle name="40% - Accent6 2 4 2 2" xfId="389" xr:uid="{00000000-0005-0000-0000-000084010000}"/>
    <cellStyle name="40% - Accent6 2 4 3" xfId="390" xr:uid="{00000000-0005-0000-0000-000085010000}"/>
    <cellStyle name="40% - Accent6 2 5" xfId="391" xr:uid="{00000000-0005-0000-0000-000086010000}"/>
    <cellStyle name="40% - Accent6 2 5 2" xfId="392" xr:uid="{00000000-0005-0000-0000-000087010000}"/>
    <cellStyle name="40% - Accent6 2 5 2 2" xfId="393" xr:uid="{00000000-0005-0000-0000-000088010000}"/>
    <cellStyle name="40% - Accent6 2 5 3" xfId="394" xr:uid="{00000000-0005-0000-0000-000089010000}"/>
    <cellStyle name="40% - Accent6 2 6" xfId="395" xr:uid="{00000000-0005-0000-0000-00008A010000}"/>
    <cellStyle name="40% - Accent6 2 6 2" xfId="396" xr:uid="{00000000-0005-0000-0000-00008B010000}"/>
    <cellStyle name="40% - Accent6 2 6 2 2" xfId="397" xr:uid="{00000000-0005-0000-0000-00008C010000}"/>
    <cellStyle name="40% - Accent6 2 6 3" xfId="398" xr:uid="{00000000-0005-0000-0000-00008D010000}"/>
    <cellStyle name="40% - Accent6 2 7" xfId="399" xr:uid="{00000000-0005-0000-0000-00008E010000}"/>
    <cellStyle name="40% - Accent6 2 7 2" xfId="400" xr:uid="{00000000-0005-0000-0000-00008F010000}"/>
    <cellStyle name="40% - Accent6 2 7 2 2" xfId="401" xr:uid="{00000000-0005-0000-0000-000090010000}"/>
    <cellStyle name="40% - Accent6 2 7 3" xfId="402" xr:uid="{00000000-0005-0000-0000-000091010000}"/>
    <cellStyle name="40% - Accent6 2 8" xfId="403" xr:uid="{00000000-0005-0000-0000-000092010000}"/>
    <cellStyle name="40% - Accent6 2 8 2" xfId="404" xr:uid="{00000000-0005-0000-0000-000093010000}"/>
    <cellStyle name="40% - Accent6 2 8 2 2" xfId="405" xr:uid="{00000000-0005-0000-0000-000094010000}"/>
    <cellStyle name="40% - Accent6 2 8 3" xfId="406" xr:uid="{00000000-0005-0000-0000-000095010000}"/>
    <cellStyle name="40% - Accent6 2 9" xfId="407" xr:uid="{00000000-0005-0000-0000-000096010000}"/>
    <cellStyle name="40% - Accent6 2 9 2" xfId="408" xr:uid="{00000000-0005-0000-0000-000097010000}"/>
    <cellStyle name="40% - Accent6 2 9 2 2" xfId="409" xr:uid="{00000000-0005-0000-0000-000098010000}"/>
    <cellStyle name="40% - Accent6 2 9 3" xfId="410" xr:uid="{00000000-0005-0000-0000-000099010000}"/>
    <cellStyle name="60% - Accent1 2" xfId="411" xr:uid="{00000000-0005-0000-0000-00009A010000}"/>
    <cellStyle name="60% - Accent1 2 2" xfId="412" xr:uid="{00000000-0005-0000-0000-00009B010000}"/>
    <cellStyle name="60% - Accent1 2 3" xfId="413" xr:uid="{00000000-0005-0000-0000-00009C010000}"/>
    <cellStyle name="60% - Accent1 2 4" xfId="414" xr:uid="{00000000-0005-0000-0000-00009D010000}"/>
    <cellStyle name="60% - Accent1 2 5" xfId="415" xr:uid="{00000000-0005-0000-0000-00009E010000}"/>
    <cellStyle name="60% - Accent1 2 6" xfId="416" xr:uid="{00000000-0005-0000-0000-00009F010000}"/>
    <cellStyle name="60% - Accent1 2 7" xfId="417" xr:uid="{00000000-0005-0000-0000-0000A0010000}"/>
    <cellStyle name="60% - Accent1 2 8" xfId="418" xr:uid="{00000000-0005-0000-0000-0000A1010000}"/>
    <cellStyle name="60% - Accent1 2 9" xfId="419" xr:uid="{00000000-0005-0000-0000-0000A2010000}"/>
    <cellStyle name="60% - Accent2 2" xfId="420" xr:uid="{00000000-0005-0000-0000-0000A3010000}"/>
    <cellStyle name="60% - Accent2 2 2" xfId="421" xr:uid="{00000000-0005-0000-0000-0000A4010000}"/>
    <cellStyle name="60% - Accent2 2 3" xfId="422" xr:uid="{00000000-0005-0000-0000-0000A5010000}"/>
    <cellStyle name="60% - Accent2 2 4" xfId="423" xr:uid="{00000000-0005-0000-0000-0000A6010000}"/>
    <cellStyle name="60% - Accent2 2 5" xfId="424" xr:uid="{00000000-0005-0000-0000-0000A7010000}"/>
    <cellStyle name="60% - Accent2 2 6" xfId="425" xr:uid="{00000000-0005-0000-0000-0000A8010000}"/>
    <cellStyle name="60% - Accent2 2 7" xfId="426" xr:uid="{00000000-0005-0000-0000-0000A9010000}"/>
    <cellStyle name="60% - Accent2 2 8" xfId="427" xr:uid="{00000000-0005-0000-0000-0000AA010000}"/>
    <cellStyle name="60% - Accent2 2 9" xfId="428" xr:uid="{00000000-0005-0000-0000-0000AB010000}"/>
    <cellStyle name="60% - Accent3 2" xfId="429" xr:uid="{00000000-0005-0000-0000-0000AC010000}"/>
    <cellStyle name="60% - Accent3 2 2" xfId="430" xr:uid="{00000000-0005-0000-0000-0000AD010000}"/>
    <cellStyle name="60% - Accent3 2 3" xfId="431" xr:uid="{00000000-0005-0000-0000-0000AE010000}"/>
    <cellStyle name="60% - Accent3 2 4" xfId="432" xr:uid="{00000000-0005-0000-0000-0000AF010000}"/>
    <cellStyle name="60% - Accent3 2 5" xfId="433" xr:uid="{00000000-0005-0000-0000-0000B0010000}"/>
    <cellStyle name="60% - Accent3 2 6" xfId="434" xr:uid="{00000000-0005-0000-0000-0000B1010000}"/>
    <cellStyle name="60% - Accent3 2 7" xfId="435" xr:uid="{00000000-0005-0000-0000-0000B2010000}"/>
    <cellStyle name="60% - Accent3 2 8" xfId="436" xr:uid="{00000000-0005-0000-0000-0000B3010000}"/>
    <cellStyle name="60% - Accent3 2 9" xfId="437" xr:uid="{00000000-0005-0000-0000-0000B4010000}"/>
    <cellStyle name="60% - Accent4 2" xfId="438" xr:uid="{00000000-0005-0000-0000-0000B5010000}"/>
    <cellStyle name="60% - Accent4 2 2" xfId="439" xr:uid="{00000000-0005-0000-0000-0000B6010000}"/>
    <cellStyle name="60% - Accent4 2 3" xfId="440" xr:uid="{00000000-0005-0000-0000-0000B7010000}"/>
    <cellStyle name="60% - Accent4 2 4" xfId="441" xr:uid="{00000000-0005-0000-0000-0000B8010000}"/>
    <cellStyle name="60% - Accent4 2 5" xfId="442" xr:uid="{00000000-0005-0000-0000-0000B9010000}"/>
    <cellStyle name="60% - Accent4 2 6" xfId="443" xr:uid="{00000000-0005-0000-0000-0000BA010000}"/>
    <cellStyle name="60% - Accent4 2 7" xfId="444" xr:uid="{00000000-0005-0000-0000-0000BB010000}"/>
    <cellStyle name="60% - Accent4 2 8" xfId="445" xr:uid="{00000000-0005-0000-0000-0000BC010000}"/>
    <cellStyle name="60% - Accent4 2 9" xfId="446" xr:uid="{00000000-0005-0000-0000-0000BD010000}"/>
    <cellStyle name="60% - Accent5 2" xfId="447" xr:uid="{00000000-0005-0000-0000-0000BE010000}"/>
    <cellStyle name="60% - Accent5 2 2" xfId="448" xr:uid="{00000000-0005-0000-0000-0000BF010000}"/>
    <cellStyle name="60% - Accent5 2 3" xfId="449" xr:uid="{00000000-0005-0000-0000-0000C0010000}"/>
    <cellStyle name="60% - Accent5 2 4" xfId="450" xr:uid="{00000000-0005-0000-0000-0000C1010000}"/>
    <cellStyle name="60% - Accent5 2 5" xfId="451" xr:uid="{00000000-0005-0000-0000-0000C2010000}"/>
    <cellStyle name="60% - Accent5 2 6" xfId="452" xr:uid="{00000000-0005-0000-0000-0000C3010000}"/>
    <cellStyle name="60% - Accent5 2 7" xfId="453" xr:uid="{00000000-0005-0000-0000-0000C4010000}"/>
    <cellStyle name="60% - Accent5 2 8" xfId="454" xr:uid="{00000000-0005-0000-0000-0000C5010000}"/>
    <cellStyle name="60% - Accent5 2 9" xfId="455" xr:uid="{00000000-0005-0000-0000-0000C6010000}"/>
    <cellStyle name="60% - Accent6 2" xfId="456" xr:uid="{00000000-0005-0000-0000-0000C7010000}"/>
    <cellStyle name="60% - Accent6 2 2" xfId="457" xr:uid="{00000000-0005-0000-0000-0000C8010000}"/>
    <cellStyle name="60% - Accent6 2 3" xfId="458" xr:uid="{00000000-0005-0000-0000-0000C9010000}"/>
    <cellStyle name="60% - Accent6 2 4" xfId="459" xr:uid="{00000000-0005-0000-0000-0000CA010000}"/>
    <cellStyle name="60% - Accent6 2 5" xfId="460" xr:uid="{00000000-0005-0000-0000-0000CB010000}"/>
    <cellStyle name="60% - Accent6 2 6" xfId="461" xr:uid="{00000000-0005-0000-0000-0000CC010000}"/>
    <cellStyle name="60% - Accent6 2 7" xfId="462" xr:uid="{00000000-0005-0000-0000-0000CD010000}"/>
    <cellStyle name="60% - Accent6 2 8" xfId="463" xr:uid="{00000000-0005-0000-0000-0000CE010000}"/>
    <cellStyle name="60% - Accent6 2 9" xfId="464" xr:uid="{00000000-0005-0000-0000-0000CF010000}"/>
    <cellStyle name="Accent1 2" xfId="465" xr:uid="{00000000-0005-0000-0000-0000D0010000}"/>
    <cellStyle name="Accent1 2 2" xfId="466" xr:uid="{00000000-0005-0000-0000-0000D1010000}"/>
    <cellStyle name="Accent1 2 3" xfId="467" xr:uid="{00000000-0005-0000-0000-0000D2010000}"/>
    <cellStyle name="Accent1 2 4" xfId="468" xr:uid="{00000000-0005-0000-0000-0000D3010000}"/>
    <cellStyle name="Accent1 2 5" xfId="469" xr:uid="{00000000-0005-0000-0000-0000D4010000}"/>
    <cellStyle name="Accent1 2 6" xfId="470" xr:uid="{00000000-0005-0000-0000-0000D5010000}"/>
    <cellStyle name="Accent1 2 7" xfId="471" xr:uid="{00000000-0005-0000-0000-0000D6010000}"/>
    <cellStyle name="Accent1 2 8" xfId="472" xr:uid="{00000000-0005-0000-0000-0000D7010000}"/>
    <cellStyle name="Accent1 2 9" xfId="473" xr:uid="{00000000-0005-0000-0000-0000D8010000}"/>
    <cellStyle name="Accent2 2" xfId="474" xr:uid="{00000000-0005-0000-0000-0000D9010000}"/>
    <cellStyle name="Accent2 2 2" xfId="475" xr:uid="{00000000-0005-0000-0000-0000DA010000}"/>
    <cellStyle name="Accent2 2 3" xfId="476" xr:uid="{00000000-0005-0000-0000-0000DB010000}"/>
    <cellStyle name="Accent2 2 4" xfId="477" xr:uid="{00000000-0005-0000-0000-0000DC010000}"/>
    <cellStyle name="Accent2 2 5" xfId="478" xr:uid="{00000000-0005-0000-0000-0000DD010000}"/>
    <cellStyle name="Accent2 2 6" xfId="479" xr:uid="{00000000-0005-0000-0000-0000DE010000}"/>
    <cellStyle name="Accent2 2 7" xfId="480" xr:uid="{00000000-0005-0000-0000-0000DF010000}"/>
    <cellStyle name="Accent2 2 8" xfId="481" xr:uid="{00000000-0005-0000-0000-0000E0010000}"/>
    <cellStyle name="Accent2 2 9" xfId="482" xr:uid="{00000000-0005-0000-0000-0000E1010000}"/>
    <cellStyle name="Accent3 2" xfId="483" xr:uid="{00000000-0005-0000-0000-0000E2010000}"/>
    <cellStyle name="Accent3 2 2" xfId="484" xr:uid="{00000000-0005-0000-0000-0000E3010000}"/>
    <cellStyle name="Accent3 2 3" xfId="485" xr:uid="{00000000-0005-0000-0000-0000E4010000}"/>
    <cellStyle name="Accent3 2 4" xfId="486" xr:uid="{00000000-0005-0000-0000-0000E5010000}"/>
    <cellStyle name="Accent3 2 5" xfId="487" xr:uid="{00000000-0005-0000-0000-0000E6010000}"/>
    <cellStyle name="Accent3 2 6" xfId="488" xr:uid="{00000000-0005-0000-0000-0000E7010000}"/>
    <cellStyle name="Accent3 2 7" xfId="489" xr:uid="{00000000-0005-0000-0000-0000E8010000}"/>
    <cellStyle name="Accent3 2 8" xfId="490" xr:uid="{00000000-0005-0000-0000-0000E9010000}"/>
    <cellStyle name="Accent3 2 9" xfId="491" xr:uid="{00000000-0005-0000-0000-0000EA010000}"/>
    <cellStyle name="Accent4 2" xfId="492" xr:uid="{00000000-0005-0000-0000-0000EB010000}"/>
    <cellStyle name="Accent4 2 2" xfId="493" xr:uid="{00000000-0005-0000-0000-0000EC010000}"/>
    <cellStyle name="Accent4 2 3" xfId="494" xr:uid="{00000000-0005-0000-0000-0000ED010000}"/>
    <cellStyle name="Accent4 2 4" xfId="495" xr:uid="{00000000-0005-0000-0000-0000EE010000}"/>
    <cellStyle name="Accent4 2 5" xfId="496" xr:uid="{00000000-0005-0000-0000-0000EF010000}"/>
    <cellStyle name="Accent4 2 6" xfId="497" xr:uid="{00000000-0005-0000-0000-0000F0010000}"/>
    <cellStyle name="Accent4 2 7" xfId="498" xr:uid="{00000000-0005-0000-0000-0000F1010000}"/>
    <cellStyle name="Accent4 2 8" xfId="499" xr:uid="{00000000-0005-0000-0000-0000F2010000}"/>
    <cellStyle name="Accent4 2 9" xfId="500" xr:uid="{00000000-0005-0000-0000-0000F3010000}"/>
    <cellStyle name="Accent5 2" xfId="501" xr:uid="{00000000-0005-0000-0000-0000F4010000}"/>
    <cellStyle name="Accent5 2 2" xfId="502" xr:uid="{00000000-0005-0000-0000-0000F5010000}"/>
    <cellStyle name="Accent5 2 3" xfId="503" xr:uid="{00000000-0005-0000-0000-0000F6010000}"/>
    <cellStyle name="Accent5 2 4" xfId="504" xr:uid="{00000000-0005-0000-0000-0000F7010000}"/>
    <cellStyle name="Accent5 2 5" xfId="505" xr:uid="{00000000-0005-0000-0000-0000F8010000}"/>
    <cellStyle name="Accent5 2 6" xfId="506" xr:uid="{00000000-0005-0000-0000-0000F9010000}"/>
    <cellStyle name="Accent5 2 7" xfId="507" xr:uid="{00000000-0005-0000-0000-0000FA010000}"/>
    <cellStyle name="Accent5 2 8" xfId="508" xr:uid="{00000000-0005-0000-0000-0000FB010000}"/>
    <cellStyle name="Accent5 2 9" xfId="509" xr:uid="{00000000-0005-0000-0000-0000FC010000}"/>
    <cellStyle name="Accent6 2" xfId="510" xr:uid="{00000000-0005-0000-0000-0000FD010000}"/>
    <cellStyle name="Accent6 2 2" xfId="511" xr:uid="{00000000-0005-0000-0000-0000FE010000}"/>
    <cellStyle name="Accent6 2 3" xfId="512" xr:uid="{00000000-0005-0000-0000-0000FF010000}"/>
    <cellStyle name="Accent6 2 4" xfId="513" xr:uid="{00000000-0005-0000-0000-000000020000}"/>
    <cellStyle name="Accent6 2 5" xfId="514" xr:uid="{00000000-0005-0000-0000-000001020000}"/>
    <cellStyle name="Accent6 2 6" xfId="515" xr:uid="{00000000-0005-0000-0000-000002020000}"/>
    <cellStyle name="Accent6 2 7" xfId="516" xr:uid="{00000000-0005-0000-0000-000003020000}"/>
    <cellStyle name="Accent6 2 8" xfId="517" xr:uid="{00000000-0005-0000-0000-000004020000}"/>
    <cellStyle name="Accent6 2 9" xfId="518" xr:uid="{00000000-0005-0000-0000-000005020000}"/>
    <cellStyle name="Bad 2" xfId="519" xr:uid="{00000000-0005-0000-0000-000006020000}"/>
    <cellStyle name="Bad 2 2" xfId="520" xr:uid="{00000000-0005-0000-0000-000007020000}"/>
    <cellStyle name="Bad 2 3" xfId="521" xr:uid="{00000000-0005-0000-0000-000008020000}"/>
    <cellStyle name="Bad 2 4" xfId="522" xr:uid="{00000000-0005-0000-0000-000009020000}"/>
    <cellStyle name="Bad 2 5" xfId="523" xr:uid="{00000000-0005-0000-0000-00000A020000}"/>
    <cellStyle name="Bad 2 6" xfId="524" xr:uid="{00000000-0005-0000-0000-00000B020000}"/>
    <cellStyle name="Bad 2 7" xfId="525" xr:uid="{00000000-0005-0000-0000-00000C020000}"/>
    <cellStyle name="Bad 2 8" xfId="526" xr:uid="{00000000-0005-0000-0000-00000D020000}"/>
    <cellStyle name="Bad 2 9" xfId="527" xr:uid="{00000000-0005-0000-0000-00000E020000}"/>
    <cellStyle name="Calculation 2" xfId="528" xr:uid="{00000000-0005-0000-0000-00000F020000}"/>
    <cellStyle name="Calculation 2 2" xfId="529" xr:uid="{00000000-0005-0000-0000-000010020000}"/>
    <cellStyle name="Calculation 2 3" xfId="530" xr:uid="{00000000-0005-0000-0000-000011020000}"/>
    <cellStyle name="Calculation 2 4" xfId="531" xr:uid="{00000000-0005-0000-0000-000012020000}"/>
    <cellStyle name="Calculation 2 5" xfId="532" xr:uid="{00000000-0005-0000-0000-000013020000}"/>
    <cellStyle name="Calculation 2 6" xfId="533" xr:uid="{00000000-0005-0000-0000-000014020000}"/>
    <cellStyle name="Calculation 2 7" xfId="534" xr:uid="{00000000-0005-0000-0000-000015020000}"/>
    <cellStyle name="Calculation 2 8" xfId="535" xr:uid="{00000000-0005-0000-0000-000016020000}"/>
    <cellStyle name="Calculation 2 9" xfId="536" xr:uid="{00000000-0005-0000-0000-000017020000}"/>
    <cellStyle name="Check Cell 2" xfId="537" xr:uid="{00000000-0005-0000-0000-000018020000}"/>
    <cellStyle name="Check Cell 2 2" xfId="538" xr:uid="{00000000-0005-0000-0000-000019020000}"/>
    <cellStyle name="Check Cell 2 3" xfId="539" xr:uid="{00000000-0005-0000-0000-00001A020000}"/>
    <cellStyle name="Check Cell 2 4" xfId="540" xr:uid="{00000000-0005-0000-0000-00001B020000}"/>
    <cellStyle name="Check Cell 2 5" xfId="541" xr:uid="{00000000-0005-0000-0000-00001C020000}"/>
    <cellStyle name="Check Cell 2 6" xfId="542" xr:uid="{00000000-0005-0000-0000-00001D020000}"/>
    <cellStyle name="Check Cell 2 7" xfId="543" xr:uid="{00000000-0005-0000-0000-00001E020000}"/>
    <cellStyle name="Check Cell 2 8" xfId="544" xr:uid="{00000000-0005-0000-0000-00001F020000}"/>
    <cellStyle name="Check Cell 2 9" xfId="545" xr:uid="{00000000-0005-0000-0000-000020020000}"/>
    <cellStyle name="Comma" xfId="925" builtinId="3"/>
    <cellStyle name="Comma [0] 2" xfId="546" xr:uid="{00000000-0005-0000-0000-000022020000}"/>
    <cellStyle name="Comma [0] 3" xfId="547" xr:uid="{00000000-0005-0000-0000-000023020000}"/>
    <cellStyle name="Comma [0] 3 2" xfId="548" xr:uid="{00000000-0005-0000-0000-000024020000}"/>
    <cellStyle name="Comma [0] 3 2 2" xfId="549" xr:uid="{00000000-0005-0000-0000-000025020000}"/>
    <cellStyle name="Comma [0] 3 2 2 2" xfId="550" xr:uid="{00000000-0005-0000-0000-000026020000}"/>
    <cellStyle name="Comma [0] 3 2 3" xfId="551" xr:uid="{00000000-0005-0000-0000-000027020000}"/>
    <cellStyle name="Comma [0] 3 3" xfId="552" xr:uid="{00000000-0005-0000-0000-000028020000}"/>
    <cellStyle name="Comma [0] 3 3 2" xfId="553" xr:uid="{00000000-0005-0000-0000-000029020000}"/>
    <cellStyle name="Comma [0] 3 3 2 2" xfId="554" xr:uid="{00000000-0005-0000-0000-00002A020000}"/>
    <cellStyle name="Comma [0] 3 3 3" xfId="555" xr:uid="{00000000-0005-0000-0000-00002B020000}"/>
    <cellStyle name="Comma [0] 3 4" xfId="556" xr:uid="{00000000-0005-0000-0000-00002C020000}"/>
    <cellStyle name="Comma [0] 3 4 2" xfId="557" xr:uid="{00000000-0005-0000-0000-00002D020000}"/>
    <cellStyle name="Comma [0] 3 5" xfId="558" xr:uid="{00000000-0005-0000-0000-00002E020000}"/>
    <cellStyle name="Comma [0] 3 5 2" xfId="559" xr:uid="{00000000-0005-0000-0000-00002F020000}"/>
    <cellStyle name="Comma [0] 3 6" xfId="560" xr:uid="{00000000-0005-0000-0000-000030020000}"/>
    <cellStyle name="Comma 2" xfId="561" xr:uid="{00000000-0005-0000-0000-000031020000}"/>
    <cellStyle name="Comma 2 2" xfId="562" xr:uid="{00000000-0005-0000-0000-000032020000}"/>
    <cellStyle name="Comma 2 3" xfId="563" xr:uid="{00000000-0005-0000-0000-000033020000}"/>
    <cellStyle name="Comma 2 4" xfId="564" xr:uid="{00000000-0005-0000-0000-000034020000}"/>
    <cellStyle name="Comma 2 5" xfId="565" xr:uid="{00000000-0005-0000-0000-000035020000}"/>
    <cellStyle name="Comma 2 6" xfId="566" xr:uid="{00000000-0005-0000-0000-000036020000}"/>
    <cellStyle name="Comma 2 7" xfId="567" xr:uid="{00000000-0005-0000-0000-000037020000}"/>
    <cellStyle name="Comma 3" xfId="568" xr:uid="{00000000-0005-0000-0000-000038020000}"/>
    <cellStyle name="Comma 3 2" xfId="569" xr:uid="{00000000-0005-0000-0000-000039020000}"/>
    <cellStyle name="Comma 3 2 2" xfId="570" xr:uid="{00000000-0005-0000-0000-00003A020000}"/>
    <cellStyle name="Comma 3 3" xfId="571" xr:uid="{00000000-0005-0000-0000-00003B020000}"/>
    <cellStyle name="Comma 3 3 2" xfId="572" xr:uid="{00000000-0005-0000-0000-00003C020000}"/>
    <cellStyle name="Comma 3 3 2 2" xfId="573" xr:uid="{00000000-0005-0000-0000-00003D020000}"/>
    <cellStyle name="Comma 3 3 3" xfId="574" xr:uid="{00000000-0005-0000-0000-00003E020000}"/>
    <cellStyle name="Comma 3 3 4" xfId="575" xr:uid="{00000000-0005-0000-0000-00003F020000}"/>
    <cellStyle name="Comma 3 4" xfId="576" xr:uid="{00000000-0005-0000-0000-000040020000}"/>
    <cellStyle name="Comma 3 5" xfId="577" xr:uid="{00000000-0005-0000-0000-000041020000}"/>
    <cellStyle name="Comma 4" xfId="578" xr:uid="{00000000-0005-0000-0000-000042020000}"/>
    <cellStyle name="Comma 4 2" xfId="579" xr:uid="{00000000-0005-0000-0000-000043020000}"/>
    <cellStyle name="Comma 4 2 2" xfId="580" xr:uid="{00000000-0005-0000-0000-000044020000}"/>
    <cellStyle name="Comma 4 3" xfId="581" xr:uid="{00000000-0005-0000-0000-000045020000}"/>
    <cellStyle name="Comma 4 3 2" xfId="582" xr:uid="{00000000-0005-0000-0000-000046020000}"/>
    <cellStyle name="Comma 4 4" xfId="583" xr:uid="{00000000-0005-0000-0000-000047020000}"/>
    <cellStyle name="Comma 5" xfId="584" xr:uid="{00000000-0005-0000-0000-000048020000}"/>
    <cellStyle name="Comma 5 2" xfId="585" xr:uid="{00000000-0005-0000-0000-000049020000}"/>
    <cellStyle name="Comma 6" xfId="586" xr:uid="{00000000-0005-0000-0000-00004A020000}"/>
    <cellStyle name="Comma 6 2" xfId="587" xr:uid="{00000000-0005-0000-0000-00004B020000}"/>
    <cellStyle name="Comma 6 2 2" xfId="588" xr:uid="{00000000-0005-0000-0000-00004C020000}"/>
    <cellStyle name="Comma 6 3" xfId="589" xr:uid="{00000000-0005-0000-0000-00004D020000}"/>
    <cellStyle name="Comma 7" xfId="590" xr:uid="{00000000-0005-0000-0000-00004E020000}"/>
    <cellStyle name="Comma 7 2" xfId="591" xr:uid="{00000000-0005-0000-0000-00004F020000}"/>
    <cellStyle name="Comma 7 2 2" xfId="592" xr:uid="{00000000-0005-0000-0000-000050020000}"/>
    <cellStyle name="Comma 7 3" xfId="593" xr:uid="{00000000-0005-0000-0000-000051020000}"/>
    <cellStyle name="Comma 8" xfId="594" xr:uid="{00000000-0005-0000-0000-000052020000}"/>
    <cellStyle name="Comma 8 2" xfId="595" xr:uid="{00000000-0005-0000-0000-000053020000}"/>
    <cellStyle name="Comma 8 2 2" xfId="596" xr:uid="{00000000-0005-0000-0000-000054020000}"/>
    <cellStyle name="Comma 8 3" xfId="597" xr:uid="{00000000-0005-0000-0000-000055020000}"/>
    <cellStyle name="Currency 2" xfId="598" xr:uid="{00000000-0005-0000-0000-000056020000}"/>
    <cellStyle name="Currency 2 2" xfId="599" xr:uid="{00000000-0005-0000-0000-000057020000}"/>
    <cellStyle name="Currency 2 2 2" xfId="600" xr:uid="{00000000-0005-0000-0000-000058020000}"/>
    <cellStyle name="Currency 2 3" xfId="601" xr:uid="{00000000-0005-0000-0000-000059020000}"/>
    <cellStyle name="Currency 2 3 2" xfId="602" xr:uid="{00000000-0005-0000-0000-00005A020000}"/>
    <cellStyle name="Currency 3" xfId="603" xr:uid="{00000000-0005-0000-0000-00005B020000}"/>
    <cellStyle name="Currency 3 2" xfId="604" xr:uid="{00000000-0005-0000-0000-00005C020000}"/>
    <cellStyle name="Currency 3 2 2" xfId="605" xr:uid="{00000000-0005-0000-0000-00005D020000}"/>
    <cellStyle name="Currency 3 2 2 2" xfId="606" xr:uid="{00000000-0005-0000-0000-00005E020000}"/>
    <cellStyle name="Currency 3 2 3" xfId="607" xr:uid="{00000000-0005-0000-0000-00005F020000}"/>
    <cellStyle name="Currency 3 2 4" xfId="608" xr:uid="{00000000-0005-0000-0000-000060020000}"/>
    <cellStyle name="Currency 3 3" xfId="609" xr:uid="{00000000-0005-0000-0000-000061020000}"/>
    <cellStyle name="Currency 3 3 2" xfId="610" xr:uid="{00000000-0005-0000-0000-000062020000}"/>
    <cellStyle name="Currency 3 3 2 2" xfId="611" xr:uid="{00000000-0005-0000-0000-000063020000}"/>
    <cellStyle name="Currency 3 3 3" xfId="612" xr:uid="{00000000-0005-0000-0000-000064020000}"/>
    <cellStyle name="Currency 3 4" xfId="613" xr:uid="{00000000-0005-0000-0000-000065020000}"/>
    <cellStyle name="Currency 3 4 2" xfId="614" xr:uid="{00000000-0005-0000-0000-000066020000}"/>
    <cellStyle name="Currency 3 5" xfId="615" xr:uid="{00000000-0005-0000-0000-000067020000}"/>
    <cellStyle name="Currency 3 5 2" xfId="616" xr:uid="{00000000-0005-0000-0000-000068020000}"/>
    <cellStyle name="Currency 3 6" xfId="617" xr:uid="{00000000-0005-0000-0000-000069020000}"/>
    <cellStyle name="Currency 3 7" xfId="618" xr:uid="{00000000-0005-0000-0000-00006A020000}"/>
    <cellStyle name="Currency 4" xfId="619" xr:uid="{00000000-0005-0000-0000-00006B020000}"/>
    <cellStyle name="Currency 5" xfId="620" xr:uid="{00000000-0005-0000-0000-00006C020000}"/>
    <cellStyle name="Currency 5 2" xfId="621" xr:uid="{00000000-0005-0000-0000-00006D020000}"/>
    <cellStyle name="Explanatory Text 2" xfId="622" xr:uid="{00000000-0005-0000-0000-00006E020000}"/>
    <cellStyle name="Explanatory Text 2 2" xfId="623" xr:uid="{00000000-0005-0000-0000-00006F020000}"/>
    <cellStyle name="Explanatory Text 2 3" xfId="624" xr:uid="{00000000-0005-0000-0000-000070020000}"/>
    <cellStyle name="Explanatory Text 2 4" xfId="625" xr:uid="{00000000-0005-0000-0000-000071020000}"/>
    <cellStyle name="Explanatory Text 2 5" xfId="626" xr:uid="{00000000-0005-0000-0000-000072020000}"/>
    <cellStyle name="Explanatory Text 2 6" xfId="627" xr:uid="{00000000-0005-0000-0000-000073020000}"/>
    <cellStyle name="Explanatory Text 2 7" xfId="628" xr:uid="{00000000-0005-0000-0000-000074020000}"/>
    <cellStyle name="Explanatory Text 2 8" xfId="629" xr:uid="{00000000-0005-0000-0000-000075020000}"/>
    <cellStyle name="Explanatory Text 2 9" xfId="630" xr:uid="{00000000-0005-0000-0000-000076020000}"/>
    <cellStyle name="Good 2" xfId="631" xr:uid="{00000000-0005-0000-0000-000077020000}"/>
    <cellStyle name="Good 2 2" xfId="632" xr:uid="{00000000-0005-0000-0000-000078020000}"/>
    <cellStyle name="Good 2 3" xfId="633" xr:uid="{00000000-0005-0000-0000-000079020000}"/>
    <cellStyle name="Good 2 4" xfId="634" xr:uid="{00000000-0005-0000-0000-00007A020000}"/>
    <cellStyle name="Good 2 5" xfId="635" xr:uid="{00000000-0005-0000-0000-00007B020000}"/>
    <cellStyle name="Good 2 6" xfId="636" xr:uid="{00000000-0005-0000-0000-00007C020000}"/>
    <cellStyle name="Good 2 7" xfId="637" xr:uid="{00000000-0005-0000-0000-00007D020000}"/>
    <cellStyle name="Good 2 8" xfId="638" xr:uid="{00000000-0005-0000-0000-00007E020000}"/>
    <cellStyle name="Good 2 9" xfId="639" xr:uid="{00000000-0005-0000-0000-00007F020000}"/>
    <cellStyle name="Heading 1 2" xfId="640" xr:uid="{00000000-0005-0000-0000-000080020000}"/>
    <cellStyle name="Heading 1 2 2" xfId="641" xr:uid="{00000000-0005-0000-0000-000081020000}"/>
    <cellStyle name="Heading 1 2 3" xfId="642" xr:uid="{00000000-0005-0000-0000-000082020000}"/>
    <cellStyle name="Heading 1 2 4" xfId="643" xr:uid="{00000000-0005-0000-0000-000083020000}"/>
    <cellStyle name="Heading 1 2 5" xfId="644" xr:uid="{00000000-0005-0000-0000-000084020000}"/>
    <cellStyle name="Heading 1 2 6" xfId="645" xr:uid="{00000000-0005-0000-0000-000085020000}"/>
    <cellStyle name="Heading 1 2 7" xfId="646" xr:uid="{00000000-0005-0000-0000-000086020000}"/>
    <cellStyle name="Heading 1 2 8" xfId="647" xr:uid="{00000000-0005-0000-0000-000087020000}"/>
    <cellStyle name="Heading 1 2 9" xfId="648" xr:uid="{00000000-0005-0000-0000-000088020000}"/>
    <cellStyle name="Heading 2 2" xfId="649" xr:uid="{00000000-0005-0000-0000-000089020000}"/>
    <cellStyle name="Heading 2 2 2" xfId="650" xr:uid="{00000000-0005-0000-0000-00008A020000}"/>
    <cellStyle name="Heading 2 2 3" xfId="651" xr:uid="{00000000-0005-0000-0000-00008B020000}"/>
    <cellStyle name="Heading 2 2 4" xfId="652" xr:uid="{00000000-0005-0000-0000-00008C020000}"/>
    <cellStyle name="Heading 2 2 5" xfId="653" xr:uid="{00000000-0005-0000-0000-00008D020000}"/>
    <cellStyle name="Heading 2 2 6" xfId="654" xr:uid="{00000000-0005-0000-0000-00008E020000}"/>
    <cellStyle name="Heading 2 2 7" xfId="655" xr:uid="{00000000-0005-0000-0000-00008F020000}"/>
    <cellStyle name="Heading 2 2 8" xfId="656" xr:uid="{00000000-0005-0000-0000-000090020000}"/>
    <cellStyle name="Heading 2 2 9" xfId="657" xr:uid="{00000000-0005-0000-0000-000091020000}"/>
    <cellStyle name="Heading 3 2" xfId="658" xr:uid="{00000000-0005-0000-0000-000092020000}"/>
    <cellStyle name="Heading 3 2 2" xfId="659" xr:uid="{00000000-0005-0000-0000-000093020000}"/>
    <cellStyle name="Heading 3 2 3" xfId="660" xr:uid="{00000000-0005-0000-0000-000094020000}"/>
    <cellStyle name="Heading 3 2 4" xfId="661" xr:uid="{00000000-0005-0000-0000-000095020000}"/>
    <cellStyle name="Heading 3 2 5" xfId="662" xr:uid="{00000000-0005-0000-0000-000096020000}"/>
    <cellStyle name="Heading 3 2 6" xfId="663" xr:uid="{00000000-0005-0000-0000-000097020000}"/>
    <cellStyle name="Heading 3 2 7" xfId="664" xr:uid="{00000000-0005-0000-0000-000098020000}"/>
    <cellStyle name="Heading 3 2 8" xfId="665" xr:uid="{00000000-0005-0000-0000-000099020000}"/>
    <cellStyle name="Heading 3 2 9" xfId="666" xr:uid="{00000000-0005-0000-0000-00009A020000}"/>
    <cellStyle name="Heading 4 2" xfId="667" xr:uid="{00000000-0005-0000-0000-00009B020000}"/>
    <cellStyle name="Heading 4 2 2" xfId="668" xr:uid="{00000000-0005-0000-0000-00009C020000}"/>
    <cellStyle name="Heading 4 2 3" xfId="669" xr:uid="{00000000-0005-0000-0000-00009D020000}"/>
    <cellStyle name="Heading 4 2 4" xfId="670" xr:uid="{00000000-0005-0000-0000-00009E020000}"/>
    <cellStyle name="Heading 4 2 5" xfId="671" xr:uid="{00000000-0005-0000-0000-00009F020000}"/>
    <cellStyle name="Heading 4 2 6" xfId="672" xr:uid="{00000000-0005-0000-0000-0000A0020000}"/>
    <cellStyle name="Heading 4 2 7" xfId="673" xr:uid="{00000000-0005-0000-0000-0000A1020000}"/>
    <cellStyle name="Heading 4 2 8" xfId="674" xr:uid="{00000000-0005-0000-0000-0000A2020000}"/>
    <cellStyle name="Heading 4 2 9" xfId="675" xr:uid="{00000000-0005-0000-0000-0000A3020000}"/>
    <cellStyle name="Hyperlink" xfId="676" builtinId="8"/>
    <cellStyle name="Hyperlink 2" xfId="677" xr:uid="{00000000-0005-0000-0000-0000A5020000}"/>
    <cellStyle name="Hyperlink 2 2" xfId="678" xr:uid="{00000000-0005-0000-0000-0000A6020000}"/>
    <cellStyle name="Hyperlink 2 2 2" xfId="679" xr:uid="{00000000-0005-0000-0000-0000A7020000}"/>
    <cellStyle name="Hyperlink 2 2 3" xfId="680" xr:uid="{00000000-0005-0000-0000-0000A8020000}"/>
    <cellStyle name="Hyperlink 2 2 4" xfId="681" xr:uid="{00000000-0005-0000-0000-0000A9020000}"/>
    <cellStyle name="Hyperlink 2 3" xfId="682" xr:uid="{00000000-0005-0000-0000-0000AA020000}"/>
    <cellStyle name="Hyperlink 2 4" xfId="683" xr:uid="{00000000-0005-0000-0000-0000AB020000}"/>
    <cellStyle name="Hyperlink 2 5" xfId="684" xr:uid="{00000000-0005-0000-0000-0000AC020000}"/>
    <cellStyle name="Hyperlink 3" xfId="685" xr:uid="{00000000-0005-0000-0000-0000AD020000}"/>
    <cellStyle name="Hyperlink 4" xfId="686" xr:uid="{00000000-0005-0000-0000-0000AE020000}"/>
    <cellStyle name="Hyperlink 4 2" xfId="687" xr:uid="{00000000-0005-0000-0000-0000AF020000}"/>
    <cellStyle name="Hyperlink 4 3" xfId="688" xr:uid="{00000000-0005-0000-0000-0000B0020000}"/>
    <cellStyle name="Hyperlink 5" xfId="689" xr:uid="{00000000-0005-0000-0000-0000B1020000}"/>
    <cellStyle name="Input 2" xfId="690" xr:uid="{00000000-0005-0000-0000-0000B2020000}"/>
    <cellStyle name="Input 2 2" xfId="691" xr:uid="{00000000-0005-0000-0000-0000B3020000}"/>
    <cellStyle name="Input 2 3" xfId="692" xr:uid="{00000000-0005-0000-0000-0000B4020000}"/>
    <cellStyle name="Input 2 4" xfId="693" xr:uid="{00000000-0005-0000-0000-0000B5020000}"/>
    <cellStyle name="Input 2 5" xfId="694" xr:uid="{00000000-0005-0000-0000-0000B6020000}"/>
    <cellStyle name="Input 2 6" xfId="695" xr:uid="{00000000-0005-0000-0000-0000B7020000}"/>
    <cellStyle name="Input 2 7" xfId="696" xr:uid="{00000000-0005-0000-0000-0000B8020000}"/>
    <cellStyle name="Input 2 8" xfId="697" xr:uid="{00000000-0005-0000-0000-0000B9020000}"/>
    <cellStyle name="Input 2 9" xfId="698" xr:uid="{00000000-0005-0000-0000-0000BA020000}"/>
    <cellStyle name="Linked Cell 2" xfId="699" xr:uid="{00000000-0005-0000-0000-0000BB020000}"/>
    <cellStyle name="Linked Cell 2 2" xfId="700" xr:uid="{00000000-0005-0000-0000-0000BC020000}"/>
    <cellStyle name="Linked Cell 2 3" xfId="701" xr:uid="{00000000-0005-0000-0000-0000BD020000}"/>
    <cellStyle name="Linked Cell 2 4" xfId="702" xr:uid="{00000000-0005-0000-0000-0000BE020000}"/>
    <cellStyle name="Linked Cell 2 5" xfId="703" xr:uid="{00000000-0005-0000-0000-0000BF020000}"/>
    <cellStyle name="Linked Cell 2 6" xfId="704" xr:uid="{00000000-0005-0000-0000-0000C0020000}"/>
    <cellStyle name="Linked Cell 2 7" xfId="705" xr:uid="{00000000-0005-0000-0000-0000C1020000}"/>
    <cellStyle name="Linked Cell 2 8" xfId="706" xr:uid="{00000000-0005-0000-0000-0000C2020000}"/>
    <cellStyle name="Linked Cell 2 9" xfId="707" xr:uid="{00000000-0005-0000-0000-0000C3020000}"/>
    <cellStyle name="Neutral 2" xfId="708" xr:uid="{00000000-0005-0000-0000-0000C4020000}"/>
    <cellStyle name="Neutral 2 2" xfId="709" xr:uid="{00000000-0005-0000-0000-0000C5020000}"/>
    <cellStyle name="Neutral 2 3" xfId="710" xr:uid="{00000000-0005-0000-0000-0000C6020000}"/>
    <cellStyle name="Neutral 2 4" xfId="711" xr:uid="{00000000-0005-0000-0000-0000C7020000}"/>
    <cellStyle name="Neutral 2 5" xfId="712" xr:uid="{00000000-0005-0000-0000-0000C8020000}"/>
    <cellStyle name="Neutral 2 6" xfId="713" xr:uid="{00000000-0005-0000-0000-0000C9020000}"/>
    <cellStyle name="Neutral 2 7" xfId="714" xr:uid="{00000000-0005-0000-0000-0000CA020000}"/>
    <cellStyle name="Neutral 2 8" xfId="715" xr:uid="{00000000-0005-0000-0000-0000CB020000}"/>
    <cellStyle name="Neutral 2 9" xfId="716" xr:uid="{00000000-0005-0000-0000-0000CC020000}"/>
    <cellStyle name="Normal" xfId="0" builtinId="0"/>
    <cellStyle name="Normal 10" xfId="717" xr:uid="{00000000-0005-0000-0000-0000CE020000}"/>
    <cellStyle name="Normal 10 2" xfId="718" xr:uid="{00000000-0005-0000-0000-0000CF020000}"/>
    <cellStyle name="Normal 10 3" xfId="719" xr:uid="{00000000-0005-0000-0000-0000D0020000}"/>
    <cellStyle name="Normal 10 4" xfId="720" xr:uid="{00000000-0005-0000-0000-0000D1020000}"/>
    <cellStyle name="Normal 11" xfId="721" xr:uid="{00000000-0005-0000-0000-0000D2020000}"/>
    <cellStyle name="Normal 11 2" xfId="722" xr:uid="{00000000-0005-0000-0000-0000D3020000}"/>
    <cellStyle name="Normal 12" xfId="723" xr:uid="{00000000-0005-0000-0000-0000D4020000}"/>
    <cellStyle name="Normal 12 2" xfId="724" xr:uid="{00000000-0005-0000-0000-0000D5020000}"/>
    <cellStyle name="Normal 13" xfId="725" xr:uid="{00000000-0005-0000-0000-0000D6020000}"/>
    <cellStyle name="Normal 13 2" xfId="726" xr:uid="{00000000-0005-0000-0000-0000D7020000}"/>
    <cellStyle name="Normal 13 3" xfId="727" xr:uid="{00000000-0005-0000-0000-0000D8020000}"/>
    <cellStyle name="Normal 14" xfId="728" xr:uid="{00000000-0005-0000-0000-0000D9020000}"/>
    <cellStyle name="Normal 14 2" xfId="729" xr:uid="{00000000-0005-0000-0000-0000DA020000}"/>
    <cellStyle name="Normal 15" xfId="730" xr:uid="{00000000-0005-0000-0000-0000DB020000}"/>
    <cellStyle name="Normal 16" xfId="731" xr:uid="{00000000-0005-0000-0000-0000DC020000}"/>
    <cellStyle name="Normal 17" xfId="732" xr:uid="{00000000-0005-0000-0000-0000DD020000}"/>
    <cellStyle name="Normal 17 2" xfId="733" xr:uid="{00000000-0005-0000-0000-0000DE020000}"/>
    <cellStyle name="Normal 17 3" xfId="734" xr:uid="{00000000-0005-0000-0000-0000DF020000}"/>
    <cellStyle name="Normal 18" xfId="735" xr:uid="{00000000-0005-0000-0000-0000E0020000}"/>
    <cellStyle name="Normal 18 2" xfId="736" xr:uid="{00000000-0005-0000-0000-0000E1020000}"/>
    <cellStyle name="Normal 19" xfId="737" xr:uid="{00000000-0005-0000-0000-0000E2020000}"/>
    <cellStyle name="Normal 2" xfId="738" xr:uid="{00000000-0005-0000-0000-0000E3020000}"/>
    <cellStyle name="Normal 2 10" xfId="739" xr:uid="{00000000-0005-0000-0000-0000E4020000}"/>
    <cellStyle name="Normal 2 11" xfId="740" xr:uid="{00000000-0005-0000-0000-0000E5020000}"/>
    <cellStyle name="Normal 2 12" xfId="741" xr:uid="{00000000-0005-0000-0000-0000E6020000}"/>
    <cellStyle name="Normal 2 13" xfId="742" xr:uid="{00000000-0005-0000-0000-0000E7020000}"/>
    <cellStyle name="Normal 2 14" xfId="743" xr:uid="{00000000-0005-0000-0000-0000E8020000}"/>
    <cellStyle name="Normal 2 15" xfId="744" xr:uid="{00000000-0005-0000-0000-0000E9020000}"/>
    <cellStyle name="Normal 2 2" xfId="745" xr:uid="{00000000-0005-0000-0000-0000EA020000}"/>
    <cellStyle name="Normal 2 2 2" xfId="746" xr:uid="{00000000-0005-0000-0000-0000EB020000}"/>
    <cellStyle name="Normal 2 2 2 2" xfId="747" xr:uid="{00000000-0005-0000-0000-0000EC020000}"/>
    <cellStyle name="Normal 2 2 3" xfId="748" xr:uid="{00000000-0005-0000-0000-0000ED020000}"/>
    <cellStyle name="Normal 2 2 4" xfId="749" xr:uid="{00000000-0005-0000-0000-0000EE020000}"/>
    <cellStyle name="Normal 2 2 5" xfId="750" xr:uid="{00000000-0005-0000-0000-0000EF020000}"/>
    <cellStyle name="Normal 2 2 6" xfId="751" xr:uid="{00000000-0005-0000-0000-0000F0020000}"/>
    <cellStyle name="Normal 2 2 7" xfId="752" xr:uid="{00000000-0005-0000-0000-0000F1020000}"/>
    <cellStyle name="Normal 2 2 8" xfId="753" xr:uid="{00000000-0005-0000-0000-0000F2020000}"/>
    <cellStyle name="Normal 2 2 9" xfId="754" xr:uid="{00000000-0005-0000-0000-0000F3020000}"/>
    <cellStyle name="Normal 2 2_modelattr1" xfId="755" xr:uid="{00000000-0005-0000-0000-0000F4020000}"/>
    <cellStyle name="Normal 2 3" xfId="756" xr:uid="{00000000-0005-0000-0000-0000F5020000}"/>
    <cellStyle name="Normal 2 3 2" xfId="757" xr:uid="{00000000-0005-0000-0000-0000F6020000}"/>
    <cellStyle name="Normal 2 4" xfId="758" xr:uid="{00000000-0005-0000-0000-0000F7020000}"/>
    <cellStyle name="Normal 2 5" xfId="759" xr:uid="{00000000-0005-0000-0000-0000F8020000}"/>
    <cellStyle name="Normal 2 6" xfId="760" xr:uid="{00000000-0005-0000-0000-0000F9020000}"/>
    <cellStyle name="Normal 2 7" xfId="761" xr:uid="{00000000-0005-0000-0000-0000FA020000}"/>
    <cellStyle name="Normal 2 8" xfId="762" xr:uid="{00000000-0005-0000-0000-0000FB020000}"/>
    <cellStyle name="Normal 2 9" xfId="763" xr:uid="{00000000-0005-0000-0000-0000FC020000}"/>
    <cellStyle name="Normal 20" xfId="764" xr:uid="{00000000-0005-0000-0000-0000FD020000}"/>
    <cellStyle name="Normal 21" xfId="765" xr:uid="{00000000-0005-0000-0000-0000FE020000}"/>
    <cellStyle name="Normal 22" xfId="766" xr:uid="{00000000-0005-0000-0000-0000FF020000}"/>
    <cellStyle name="Normal 23" xfId="767" xr:uid="{00000000-0005-0000-0000-000000030000}"/>
    <cellStyle name="Normal 23 2" xfId="768" xr:uid="{00000000-0005-0000-0000-000001030000}"/>
    <cellStyle name="Normal 24" xfId="769" xr:uid="{00000000-0005-0000-0000-000002030000}"/>
    <cellStyle name="Normal 24 2" xfId="770" xr:uid="{00000000-0005-0000-0000-000003030000}"/>
    <cellStyle name="Normal 25" xfId="771" xr:uid="{00000000-0005-0000-0000-000004030000}"/>
    <cellStyle name="Normal 25 2" xfId="772" xr:uid="{00000000-0005-0000-0000-000005030000}"/>
    <cellStyle name="Normal 3" xfId="773" xr:uid="{00000000-0005-0000-0000-000006030000}"/>
    <cellStyle name="Normal 3 10" xfId="774" xr:uid="{00000000-0005-0000-0000-000007030000}"/>
    <cellStyle name="Normal 3 11" xfId="775" xr:uid="{00000000-0005-0000-0000-000008030000}"/>
    <cellStyle name="Normal 3 12" xfId="776" xr:uid="{00000000-0005-0000-0000-000009030000}"/>
    <cellStyle name="Normal 3 13" xfId="777" xr:uid="{00000000-0005-0000-0000-00000A030000}"/>
    <cellStyle name="Normal 3 14" xfId="778" xr:uid="{00000000-0005-0000-0000-00000B030000}"/>
    <cellStyle name="Normal 3 2" xfId="779" xr:uid="{00000000-0005-0000-0000-00000C030000}"/>
    <cellStyle name="Normal 3 2 2" xfId="780" xr:uid="{00000000-0005-0000-0000-00000D030000}"/>
    <cellStyle name="Normal 3 2 3" xfId="781" xr:uid="{00000000-0005-0000-0000-00000E030000}"/>
    <cellStyle name="Normal 3 2 4" xfId="782" xr:uid="{00000000-0005-0000-0000-00000F030000}"/>
    <cellStyle name="Normal 3 2_modelattr1" xfId="783" xr:uid="{00000000-0005-0000-0000-000010030000}"/>
    <cellStyle name="Normal 3 3" xfId="784" xr:uid="{00000000-0005-0000-0000-000011030000}"/>
    <cellStyle name="Normal 3 3 2" xfId="785" xr:uid="{00000000-0005-0000-0000-000012030000}"/>
    <cellStyle name="Normal 3 4" xfId="786" xr:uid="{00000000-0005-0000-0000-000013030000}"/>
    <cellStyle name="Normal 3 5" xfId="787" xr:uid="{00000000-0005-0000-0000-000014030000}"/>
    <cellStyle name="Normal 3 6" xfId="788" xr:uid="{00000000-0005-0000-0000-000015030000}"/>
    <cellStyle name="Normal 3 7" xfId="789" xr:uid="{00000000-0005-0000-0000-000016030000}"/>
    <cellStyle name="Normal 3 8" xfId="790" xr:uid="{00000000-0005-0000-0000-000017030000}"/>
    <cellStyle name="Normal 3 9" xfId="791" xr:uid="{00000000-0005-0000-0000-000018030000}"/>
    <cellStyle name="Normal 3_modelattr1" xfId="792" xr:uid="{00000000-0005-0000-0000-000019030000}"/>
    <cellStyle name="Normal 4" xfId="793" xr:uid="{00000000-0005-0000-0000-00001A030000}"/>
    <cellStyle name="Normal 4 10" xfId="794" xr:uid="{00000000-0005-0000-0000-00001B030000}"/>
    <cellStyle name="Normal 4 11" xfId="795" xr:uid="{00000000-0005-0000-0000-00001C030000}"/>
    <cellStyle name="Normal 4 12" xfId="796" xr:uid="{00000000-0005-0000-0000-00001D030000}"/>
    <cellStyle name="Normal 4 13" xfId="797" xr:uid="{00000000-0005-0000-0000-00001E030000}"/>
    <cellStyle name="Normal 4 2" xfId="798" xr:uid="{00000000-0005-0000-0000-00001F030000}"/>
    <cellStyle name="Normal 4 3" xfId="799" xr:uid="{00000000-0005-0000-0000-000020030000}"/>
    <cellStyle name="Normal 4 4" xfId="800" xr:uid="{00000000-0005-0000-0000-000021030000}"/>
    <cellStyle name="Normal 4 5" xfId="801" xr:uid="{00000000-0005-0000-0000-000022030000}"/>
    <cellStyle name="Normal 4 6" xfId="802" xr:uid="{00000000-0005-0000-0000-000023030000}"/>
    <cellStyle name="Normal 4 7" xfId="803" xr:uid="{00000000-0005-0000-0000-000024030000}"/>
    <cellStyle name="Normal 4 8" xfId="804" xr:uid="{00000000-0005-0000-0000-000025030000}"/>
    <cellStyle name="Normal 4 9" xfId="805" xr:uid="{00000000-0005-0000-0000-000026030000}"/>
    <cellStyle name="Normal 4 9 2" xfId="806" xr:uid="{00000000-0005-0000-0000-000027030000}"/>
    <cellStyle name="Normal 5" xfId="807" xr:uid="{00000000-0005-0000-0000-000028030000}"/>
    <cellStyle name="Normal 5 10" xfId="808" xr:uid="{00000000-0005-0000-0000-000029030000}"/>
    <cellStyle name="Normal 5 11" xfId="809" xr:uid="{00000000-0005-0000-0000-00002A030000}"/>
    <cellStyle name="Normal 5 2" xfId="810" xr:uid="{00000000-0005-0000-0000-00002B030000}"/>
    <cellStyle name="Normal 5 3" xfId="811" xr:uid="{00000000-0005-0000-0000-00002C030000}"/>
    <cellStyle name="Normal 5 4" xfId="812" xr:uid="{00000000-0005-0000-0000-00002D030000}"/>
    <cellStyle name="Normal 5 5" xfId="813" xr:uid="{00000000-0005-0000-0000-00002E030000}"/>
    <cellStyle name="Normal 5 6" xfId="814" xr:uid="{00000000-0005-0000-0000-00002F030000}"/>
    <cellStyle name="Normal 5 7" xfId="815" xr:uid="{00000000-0005-0000-0000-000030030000}"/>
    <cellStyle name="Normal 5 8" xfId="816" xr:uid="{00000000-0005-0000-0000-000031030000}"/>
    <cellStyle name="Normal 5 9" xfId="817" xr:uid="{00000000-0005-0000-0000-000032030000}"/>
    <cellStyle name="Normal 5_modelattr1" xfId="818" xr:uid="{00000000-0005-0000-0000-000033030000}"/>
    <cellStyle name="Normal 6" xfId="819" xr:uid="{00000000-0005-0000-0000-000034030000}"/>
    <cellStyle name="Normal 6 2" xfId="820" xr:uid="{00000000-0005-0000-0000-000035030000}"/>
    <cellStyle name="Normal 6 3" xfId="821" xr:uid="{00000000-0005-0000-0000-000036030000}"/>
    <cellStyle name="Normal 6 4" xfId="822" xr:uid="{00000000-0005-0000-0000-000037030000}"/>
    <cellStyle name="Normal 6 5" xfId="823" xr:uid="{00000000-0005-0000-0000-000038030000}"/>
    <cellStyle name="Normal 6 6" xfId="824" xr:uid="{00000000-0005-0000-0000-000039030000}"/>
    <cellStyle name="Normal 6 7" xfId="825" xr:uid="{00000000-0005-0000-0000-00003A030000}"/>
    <cellStyle name="Normal 6 8" xfId="826" xr:uid="{00000000-0005-0000-0000-00003B030000}"/>
    <cellStyle name="Normal 6 9" xfId="827" xr:uid="{00000000-0005-0000-0000-00003C030000}"/>
    <cellStyle name="Normal 7" xfId="828" xr:uid="{00000000-0005-0000-0000-00003D030000}"/>
    <cellStyle name="Normal 7 2" xfId="829" xr:uid="{00000000-0005-0000-0000-00003E030000}"/>
    <cellStyle name="Normal 7 2 2" xfId="830" xr:uid="{00000000-0005-0000-0000-00003F030000}"/>
    <cellStyle name="Normal 7 3" xfId="831" xr:uid="{00000000-0005-0000-0000-000040030000}"/>
    <cellStyle name="Normal 7 4" xfId="832" xr:uid="{00000000-0005-0000-0000-000041030000}"/>
    <cellStyle name="Normal 7 5" xfId="833" xr:uid="{00000000-0005-0000-0000-000042030000}"/>
    <cellStyle name="Normal 7 6" xfId="834" xr:uid="{00000000-0005-0000-0000-000043030000}"/>
    <cellStyle name="Normal 7 7" xfId="835" xr:uid="{00000000-0005-0000-0000-000044030000}"/>
    <cellStyle name="Normal 7 8" xfId="836" xr:uid="{00000000-0005-0000-0000-000045030000}"/>
    <cellStyle name="Normal 7 9" xfId="837" xr:uid="{00000000-0005-0000-0000-000046030000}"/>
    <cellStyle name="Normal 7_modelattr1" xfId="838" xr:uid="{00000000-0005-0000-0000-000047030000}"/>
    <cellStyle name="Normal 8" xfId="839" xr:uid="{00000000-0005-0000-0000-000048030000}"/>
    <cellStyle name="Normal 8 2" xfId="840" xr:uid="{00000000-0005-0000-0000-000049030000}"/>
    <cellStyle name="Normal 8 3" xfId="841" xr:uid="{00000000-0005-0000-0000-00004A030000}"/>
    <cellStyle name="Normal 8 4" xfId="842" xr:uid="{00000000-0005-0000-0000-00004B030000}"/>
    <cellStyle name="Normal 8 5" xfId="843" xr:uid="{00000000-0005-0000-0000-00004C030000}"/>
    <cellStyle name="Normal 8 6" xfId="844" xr:uid="{00000000-0005-0000-0000-00004D030000}"/>
    <cellStyle name="Normal 8 7" xfId="845" xr:uid="{00000000-0005-0000-0000-00004E030000}"/>
    <cellStyle name="Normal 8 8" xfId="846" xr:uid="{00000000-0005-0000-0000-00004F030000}"/>
    <cellStyle name="Normal 9" xfId="847" xr:uid="{00000000-0005-0000-0000-000050030000}"/>
    <cellStyle name="Normal 9 2" xfId="848" xr:uid="{00000000-0005-0000-0000-000051030000}"/>
    <cellStyle name="Note 2" xfId="849" xr:uid="{00000000-0005-0000-0000-000052030000}"/>
    <cellStyle name="Note 2 10" xfId="850" xr:uid="{00000000-0005-0000-0000-000053030000}"/>
    <cellStyle name="Note 2 11" xfId="851" xr:uid="{00000000-0005-0000-0000-000054030000}"/>
    <cellStyle name="Note 2 2" xfId="852" xr:uid="{00000000-0005-0000-0000-000055030000}"/>
    <cellStyle name="Note 2 2 2" xfId="853" xr:uid="{00000000-0005-0000-0000-000056030000}"/>
    <cellStyle name="Note 2 2 2 2" xfId="854" xr:uid="{00000000-0005-0000-0000-000057030000}"/>
    <cellStyle name="Note 2 2 2 2 2" xfId="855" xr:uid="{00000000-0005-0000-0000-000058030000}"/>
    <cellStyle name="Note 2 2 2 3" xfId="856" xr:uid="{00000000-0005-0000-0000-000059030000}"/>
    <cellStyle name="Note 2 2 3" xfId="857" xr:uid="{00000000-0005-0000-0000-00005A030000}"/>
    <cellStyle name="Note 2 2 3 2" xfId="858" xr:uid="{00000000-0005-0000-0000-00005B030000}"/>
    <cellStyle name="Note 2 2 4" xfId="859" xr:uid="{00000000-0005-0000-0000-00005C030000}"/>
    <cellStyle name="Note 2 2 5" xfId="860" xr:uid="{00000000-0005-0000-0000-00005D030000}"/>
    <cellStyle name="Note 2 3" xfId="861" xr:uid="{00000000-0005-0000-0000-00005E030000}"/>
    <cellStyle name="Note 2 4" xfId="862" xr:uid="{00000000-0005-0000-0000-00005F030000}"/>
    <cellStyle name="Note 2 5" xfId="863" xr:uid="{00000000-0005-0000-0000-000060030000}"/>
    <cellStyle name="Note 2 6" xfId="864" xr:uid="{00000000-0005-0000-0000-000061030000}"/>
    <cellStyle name="Note 2 7" xfId="865" xr:uid="{00000000-0005-0000-0000-000062030000}"/>
    <cellStyle name="Note 2 8" xfId="866" xr:uid="{00000000-0005-0000-0000-000063030000}"/>
    <cellStyle name="Note 2 9" xfId="867" xr:uid="{00000000-0005-0000-0000-000064030000}"/>
    <cellStyle name="Output 2" xfId="868" xr:uid="{00000000-0005-0000-0000-000065030000}"/>
    <cellStyle name="Output 2 2" xfId="869" xr:uid="{00000000-0005-0000-0000-000066030000}"/>
    <cellStyle name="Output 2 3" xfId="870" xr:uid="{00000000-0005-0000-0000-000067030000}"/>
    <cellStyle name="Output 2 4" xfId="871" xr:uid="{00000000-0005-0000-0000-000068030000}"/>
    <cellStyle name="Output 2 5" xfId="872" xr:uid="{00000000-0005-0000-0000-000069030000}"/>
    <cellStyle name="Output 2 6" xfId="873" xr:uid="{00000000-0005-0000-0000-00006A030000}"/>
    <cellStyle name="Output 2 7" xfId="874" xr:uid="{00000000-0005-0000-0000-00006B030000}"/>
    <cellStyle name="Output 2 8" xfId="875" xr:uid="{00000000-0005-0000-0000-00006C030000}"/>
    <cellStyle name="Output 2 9" xfId="876" xr:uid="{00000000-0005-0000-0000-00006D030000}"/>
    <cellStyle name="Percent 2" xfId="877" xr:uid="{00000000-0005-0000-0000-00006E030000}"/>
    <cellStyle name="Percent 2 2" xfId="878" xr:uid="{00000000-0005-0000-0000-00006F030000}"/>
    <cellStyle name="Percent 2 2 2" xfId="879" xr:uid="{00000000-0005-0000-0000-000070030000}"/>
    <cellStyle name="Percent 2 3" xfId="880" xr:uid="{00000000-0005-0000-0000-000071030000}"/>
    <cellStyle name="Percent 2 4" xfId="881" xr:uid="{00000000-0005-0000-0000-000072030000}"/>
    <cellStyle name="Percent 2 5" xfId="882" xr:uid="{00000000-0005-0000-0000-000073030000}"/>
    <cellStyle name="Percent 2 6" xfId="883" xr:uid="{00000000-0005-0000-0000-000074030000}"/>
    <cellStyle name="Percent 2 7" xfId="884" xr:uid="{00000000-0005-0000-0000-000075030000}"/>
    <cellStyle name="Percent 3" xfId="885" xr:uid="{00000000-0005-0000-0000-000076030000}"/>
    <cellStyle name="Percent 3 2" xfId="886" xr:uid="{00000000-0005-0000-0000-000077030000}"/>
    <cellStyle name="Percent 3 3" xfId="887" xr:uid="{00000000-0005-0000-0000-000078030000}"/>
    <cellStyle name="Percent 4" xfId="888" xr:uid="{00000000-0005-0000-0000-000079030000}"/>
    <cellStyle name="Percent 4 2" xfId="889" xr:uid="{00000000-0005-0000-0000-00007A030000}"/>
    <cellStyle name="Percent 5" xfId="890" xr:uid="{00000000-0005-0000-0000-00007B030000}"/>
    <cellStyle name="Percent 5 2" xfId="891" xr:uid="{00000000-0005-0000-0000-00007C030000}"/>
    <cellStyle name="Percent 6" xfId="892" xr:uid="{00000000-0005-0000-0000-00007D030000}"/>
    <cellStyle name="SelectFormat" xfId="893" xr:uid="{00000000-0005-0000-0000-00007E030000}"/>
    <cellStyle name="SelectFormat 2" xfId="894" xr:uid="{00000000-0005-0000-0000-00007F030000}"/>
    <cellStyle name="SelectFormat 2 2" xfId="895" xr:uid="{00000000-0005-0000-0000-000080030000}"/>
    <cellStyle name="SelectFormat 3" xfId="896" xr:uid="{00000000-0005-0000-0000-000081030000}"/>
    <cellStyle name="SelectFormat_Submission Teams by Workgroup" xfId="897" xr:uid="{00000000-0005-0000-0000-000082030000}"/>
    <cellStyle name="Title 2" xfId="898" xr:uid="{00000000-0005-0000-0000-000083030000}"/>
    <cellStyle name="Title 2 2" xfId="899" xr:uid="{00000000-0005-0000-0000-000084030000}"/>
    <cellStyle name="Title 2 3" xfId="900" xr:uid="{00000000-0005-0000-0000-000085030000}"/>
    <cellStyle name="Title 2 4" xfId="901" xr:uid="{00000000-0005-0000-0000-000086030000}"/>
    <cellStyle name="Title 2 5" xfId="902" xr:uid="{00000000-0005-0000-0000-000087030000}"/>
    <cellStyle name="Title 2 6" xfId="903" xr:uid="{00000000-0005-0000-0000-000088030000}"/>
    <cellStyle name="Title 2 7" xfId="904" xr:uid="{00000000-0005-0000-0000-000089030000}"/>
    <cellStyle name="Title 2 8" xfId="905" xr:uid="{00000000-0005-0000-0000-00008A030000}"/>
    <cellStyle name="Title 2 9" xfId="906" xr:uid="{00000000-0005-0000-0000-00008B030000}"/>
    <cellStyle name="Total 2" xfId="907" xr:uid="{00000000-0005-0000-0000-00008C030000}"/>
    <cellStyle name="Total 2 2" xfId="908" xr:uid="{00000000-0005-0000-0000-00008D030000}"/>
    <cellStyle name="Total 2 3" xfId="909" xr:uid="{00000000-0005-0000-0000-00008E030000}"/>
    <cellStyle name="Total 2 4" xfId="910" xr:uid="{00000000-0005-0000-0000-00008F030000}"/>
    <cellStyle name="Total 2 5" xfId="911" xr:uid="{00000000-0005-0000-0000-000090030000}"/>
    <cellStyle name="Total 2 6" xfId="912" xr:uid="{00000000-0005-0000-0000-000091030000}"/>
    <cellStyle name="Total 2 7" xfId="913" xr:uid="{00000000-0005-0000-0000-000092030000}"/>
    <cellStyle name="Total 2 8" xfId="914" xr:uid="{00000000-0005-0000-0000-000093030000}"/>
    <cellStyle name="Total 2 9" xfId="915" xr:uid="{00000000-0005-0000-0000-000094030000}"/>
    <cellStyle name="Warning Text 2" xfId="916" xr:uid="{00000000-0005-0000-0000-000095030000}"/>
    <cellStyle name="Warning Text 2 2" xfId="917" xr:uid="{00000000-0005-0000-0000-000096030000}"/>
    <cellStyle name="Warning Text 2 3" xfId="918" xr:uid="{00000000-0005-0000-0000-000097030000}"/>
    <cellStyle name="Warning Text 2 4" xfId="919" xr:uid="{00000000-0005-0000-0000-000098030000}"/>
    <cellStyle name="Warning Text 2 5" xfId="920" xr:uid="{00000000-0005-0000-0000-000099030000}"/>
    <cellStyle name="Warning Text 2 6" xfId="921" xr:uid="{00000000-0005-0000-0000-00009A030000}"/>
    <cellStyle name="Warning Text 2 7" xfId="922" xr:uid="{00000000-0005-0000-0000-00009B030000}"/>
    <cellStyle name="Warning Text 2 8" xfId="923" xr:uid="{00000000-0005-0000-0000-00009C030000}"/>
    <cellStyle name="Warning Text 2 9" xfId="924" xr:uid="{00000000-0005-0000-0000-00009D03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6C6C2"/>
      <color rgb="FFCF7977"/>
      <color rgb="FFEF2121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198120</xdr:colOff>
      <xdr:row>1</xdr:row>
      <xdr:rowOff>53340</xdr:rowOff>
    </xdr:from>
    <xdr:to>
      <xdr:col>13</xdr:col>
      <xdr:colOff>75100</xdr:colOff>
      <xdr:row>7</xdr:row>
      <xdr:rowOff>257175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00900" y="228600"/>
          <a:ext cx="1301920" cy="1203960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2</xdr:row>
      <xdr:rowOff>19050</xdr:rowOff>
    </xdr:from>
    <xdr:to>
      <xdr:col>2</xdr:col>
      <xdr:colOff>1317864</xdr:colOff>
      <xdr:row>7</xdr:row>
      <xdr:rowOff>38100</xdr:rowOff>
    </xdr:to>
    <xdr:pic>
      <xdr:nvPicPr>
        <xdr:cNvPr id="5" name="Picture 4" descr="logo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00075" y="352425"/>
          <a:ext cx="1213089" cy="8572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257175</xdr:colOff>
      <xdr:row>1</xdr:row>
      <xdr:rowOff>15240</xdr:rowOff>
    </xdr:from>
    <xdr:to>
      <xdr:col>11</xdr:col>
      <xdr:colOff>1279060</xdr:colOff>
      <xdr:row>7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2875" y="177165"/>
          <a:ext cx="1279060" cy="1194435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</xdr:row>
      <xdr:rowOff>19050</xdr:rowOff>
    </xdr:from>
    <xdr:to>
      <xdr:col>2</xdr:col>
      <xdr:colOff>489189</xdr:colOff>
      <xdr:row>6</xdr:row>
      <xdr:rowOff>114300</xdr:rowOff>
    </xdr:to>
    <xdr:pic>
      <xdr:nvPicPr>
        <xdr:cNvPr id="4" name="Picture 3" descr="logo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28600" y="342900"/>
          <a:ext cx="1213089" cy="8572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161925</xdr:colOff>
      <xdr:row>0</xdr:row>
      <xdr:rowOff>91440</xdr:rowOff>
    </xdr:from>
    <xdr:to>
      <xdr:col>18</xdr:col>
      <xdr:colOff>198925</xdr:colOff>
      <xdr:row>7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87175" y="91440"/>
          <a:ext cx="1275250" cy="119443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</xdr:row>
      <xdr:rowOff>0</xdr:rowOff>
    </xdr:from>
    <xdr:to>
      <xdr:col>3</xdr:col>
      <xdr:colOff>136764</xdr:colOff>
      <xdr:row>6</xdr:row>
      <xdr:rowOff>95250</xdr:rowOff>
    </xdr:to>
    <xdr:pic>
      <xdr:nvPicPr>
        <xdr:cNvPr id="4" name="Picture 3" descr="logo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47675" y="323850"/>
          <a:ext cx="1213089" cy="8572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0</xdr:colOff>
      <xdr:row>1</xdr:row>
      <xdr:rowOff>139065</xdr:rowOff>
    </xdr:from>
    <xdr:to>
      <xdr:col>19</xdr:col>
      <xdr:colOff>656125</xdr:colOff>
      <xdr:row>8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73075" y="300990"/>
          <a:ext cx="1275250" cy="119443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</xdr:row>
      <xdr:rowOff>0</xdr:rowOff>
    </xdr:from>
    <xdr:to>
      <xdr:col>3</xdr:col>
      <xdr:colOff>108189</xdr:colOff>
      <xdr:row>6</xdr:row>
      <xdr:rowOff>95250</xdr:rowOff>
    </xdr:to>
    <xdr:pic>
      <xdr:nvPicPr>
        <xdr:cNvPr id="5" name="Picture 4" descr="logo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47675" y="323850"/>
          <a:ext cx="1213089" cy="8572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419100</xdr:colOff>
      <xdr:row>1</xdr:row>
      <xdr:rowOff>5715</xdr:rowOff>
    </xdr:from>
    <xdr:to>
      <xdr:col>14</xdr:col>
      <xdr:colOff>484675</xdr:colOff>
      <xdr:row>7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24975" y="167640"/>
          <a:ext cx="1275250" cy="119443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1213089</xdr:colOff>
      <xdr:row>6</xdr:row>
      <xdr:rowOff>95250</xdr:rowOff>
    </xdr:to>
    <xdr:pic>
      <xdr:nvPicPr>
        <xdr:cNvPr id="4" name="Picture 3" descr="logo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47675" y="323850"/>
          <a:ext cx="1213089" cy="8572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28575</xdr:colOff>
      <xdr:row>1</xdr:row>
      <xdr:rowOff>5715</xdr:rowOff>
    </xdr:from>
    <xdr:to>
      <xdr:col>14</xdr:col>
      <xdr:colOff>94150</xdr:colOff>
      <xdr:row>7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9625" y="167640"/>
          <a:ext cx="1275250" cy="119443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</xdr:row>
      <xdr:rowOff>0</xdr:rowOff>
    </xdr:from>
    <xdr:to>
      <xdr:col>3</xdr:col>
      <xdr:colOff>174864</xdr:colOff>
      <xdr:row>6</xdr:row>
      <xdr:rowOff>95250</xdr:rowOff>
    </xdr:to>
    <xdr:pic>
      <xdr:nvPicPr>
        <xdr:cNvPr id="4" name="Picture 3" descr="logo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47675" y="323850"/>
          <a:ext cx="1213089" cy="85725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76200</xdr:colOff>
      <xdr:row>1</xdr:row>
      <xdr:rowOff>81915</xdr:rowOff>
    </xdr:from>
    <xdr:to>
      <xdr:col>10</xdr:col>
      <xdr:colOff>141775</xdr:colOff>
      <xdr:row>8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72400" y="243840"/>
          <a:ext cx="1275250" cy="119443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</xdr:row>
      <xdr:rowOff>0</xdr:rowOff>
    </xdr:from>
    <xdr:to>
      <xdr:col>3</xdr:col>
      <xdr:colOff>51039</xdr:colOff>
      <xdr:row>6</xdr:row>
      <xdr:rowOff>95250</xdr:rowOff>
    </xdr:to>
    <xdr:pic>
      <xdr:nvPicPr>
        <xdr:cNvPr id="4" name="Picture 3" descr="logo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47675" y="323850"/>
          <a:ext cx="1213089" cy="85725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114300</xdr:colOff>
      <xdr:row>1</xdr:row>
      <xdr:rowOff>53340</xdr:rowOff>
    </xdr:from>
    <xdr:to>
      <xdr:col>11</xdr:col>
      <xdr:colOff>440860</xdr:colOff>
      <xdr:row>7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8800" y="228600"/>
          <a:ext cx="1301920" cy="1203960"/>
        </a:xfrm>
        <a:prstGeom prst="rect">
          <a:avLst/>
        </a:prstGeom>
      </xdr:spPr>
    </xdr:pic>
    <xdr:clientData/>
  </xdr:twoCellAnchor>
  <xdr:twoCellAnchor editAs="oneCell">
    <xdr:from>
      <xdr:col>0</xdr:col>
      <xdr:colOff>238125</xdr:colOff>
      <xdr:row>1</xdr:row>
      <xdr:rowOff>123825</xdr:rowOff>
    </xdr:from>
    <xdr:to>
      <xdr:col>3</xdr:col>
      <xdr:colOff>22464</xdr:colOff>
      <xdr:row>6</xdr:row>
      <xdr:rowOff>57150</xdr:rowOff>
    </xdr:to>
    <xdr:pic>
      <xdr:nvPicPr>
        <xdr:cNvPr id="4" name="Picture 3" descr="logo.png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38125" y="285750"/>
          <a:ext cx="1213089" cy="8572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114300</xdr:colOff>
      <xdr:row>1</xdr:row>
      <xdr:rowOff>53340</xdr:rowOff>
    </xdr:from>
    <xdr:to>
      <xdr:col>13</xdr:col>
      <xdr:colOff>440860</xdr:colOff>
      <xdr:row>7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53300" y="228600"/>
          <a:ext cx="1301920" cy="1203960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</xdr:row>
      <xdr:rowOff>152400</xdr:rowOff>
    </xdr:from>
    <xdr:to>
      <xdr:col>2</xdr:col>
      <xdr:colOff>412989</xdr:colOff>
      <xdr:row>6</xdr:row>
      <xdr:rowOff>85725</xdr:rowOff>
    </xdr:to>
    <xdr:pic>
      <xdr:nvPicPr>
        <xdr:cNvPr id="4" name="Picture 3" descr="logo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52400" y="314325"/>
          <a:ext cx="1213089" cy="85725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114300</xdr:colOff>
      <xdr:row>1</xdr:row>
      <xdr:rowOff>53340</xdr:rowOff>
    </xdr:from>
    <xdr:to>
      <xdr:col>13</xdr:col>
      <xdr:colOff>440860</xdr:colOff>
      <xdr:row>7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34525" y="215265"/>
          <a:ext cx="1279060" cy="1184910"/>
        </a:xfrm>
        <a:prstGeom prst="rect">
          <a:avLst/>
        </a:prstGeom>
      </xdr:spPr>
    </xdr:pic>
    <xdr:clientData/>
  </xdr:twoCellAnchor>
  <xdr:twoCellAnchor editAs="oneCell">
    <xdr:from>
      <xdr:col>0</xdr:col>
      <xdr:colOff>266700</xdr:colOff>
      <xdr:row>2</xdr:row>
      <xdr:rowOff>19050</xdr:rowOff>
    </xdr:from>
    <xdr:to>
      <xdr:col>3</xdr:col>
      <xdr:colOff>51039</xdr:colOff>
      <xdr:row>6</xdr:row>
      <xdr:rowOff>114300</xdr:rowOff>
    </xdr:to>
    <xdr:pic>
      <xdr:nvPicPr>
        <xdr:cNvPr id="4" name="Picture 3" descr="logo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66700" y="342900"/>
          <a:ext cx="1213089" cy="857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N26"/>
  <sheetViews>
    <sheetView showGridLines="0" topLeftCell="A7" workbookViewId="0"/>
  </sheetViews>
  <sheetFormatPr defaultColWidth="9.26953125" defaultRowHeight="13" x14ac:dyDescent="0.3"/>
  <cols>
    <col min="1" max="2" width="3.7265625" style="1" customWidth="1"/>
    <col min="3" max="3" width="20.7265625" style="1" customWidth="1"/>
    <col min="4" max="4" width="38" style="1" bestFit="1" customWidth="1"/>
    <col min="5" max="12" width="6.453125" style="1" customWidth="1"/>
    <col min="13" max="13" width="20.7265625" style="1" customWidth="1"/>
    <col min="14" max="15" width="3.7265625" style="1" customWidth="1"/>
    <col min="16" max="16" width="9.26953125" style="1" customWidth="1"/>
    <col min="17" max="16384" width="9.26953125" style="1"/>
  </cols>
  <sheetData>
    <row r="1" spans="2:14" ht="13.5" thickBot="1" x14ac:dyDescent="0.35"/>
    <row r="2" spans="2:14" x14ac:dyDescent="0.3">
      <c r="B2" s="7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</row>
    <row r="3" spans="2:14" x14ac:dyDescent="0.3">
      <c r="B3" s="10"/>
      <c r="C3" s="6"/>
      <c r="D3" s="52" t="s">
        <v>10</v>
      </c>
      <c r="E3" s="52"/>
      <c r="F3" s="52"/>
      <c r="G3" s="52"/>
      <c r="H3" s="52"/>
      <c r="I3" s="52"/>
      <c r="J3" s="52"/>
      <c r="K3" s="52"/>
      <c r="L3" s="52"/>
      <c r="M3" s="6"/>
      <c r="N3" s="11"/>
    </row>
    <row r="4" spans="2:14" x14ac:dyDescent="0.3">
      <c r="B4" s="10"/>
      <c r="C4" s="6"/>
      <c r="D4" s="52"/>
      <c r="E4" s="52"/>
      <c r="F4" s="52"/>
      <c r="G4" s="52"/>
      <c r="H4" s="52"/>
      <c r="I4" s="52"/>
      <c r="J4" s="52"/>
      <c r="K4" s="52"/>
      <c r="L4" s="52"/>
      <c r="M4" s="6"/>
      <c r="N4" s="11"/>
    </row>
    <row r="5" spans="2:14" ht="14.5" x14ac:dyDescent="0.3">
      <c r="B5" s="10"/>
      <c r="C5" s="6"/>
      <c r="D5" s="5"/>
      <c r="E5" s="5"/>
      <c r="F5" s="5"/>
      <c r="G5" s="5"/>
      <c r="H5" s="5"/>
      <c r="I5" s="5"/>
      <c r="J5" s="5"/>
      <c r="K5" s="5"/>
      <c r="L5" s="5"/>
      <c r="M5" s="6"/>
      <c r="N5" s="11"/>
    </row>
    <row r="6" spans="2:14" x14ac:dyDescent="0.3">
      <c r="B6" s="10"/>
      <c r="C6" s="6"/>
      <c r="D6" s="53" t="s">
        <v>0</v>
      </c>
      <c r="E6" s="54"/>
      <c r="F6" s="54"/>
      <c r="G6" s="54"/>
      <c r="H6" s="54"/>
      <c r="I6" s="54"/>
      <c r="J6" s="54"/>
      <c r="K6" s="54"/>
      <c r="L6" s="55"/>
      <c r="M6" s="6"/>
      <c r="N6" s="11"/>
    </row>
    <row r="7" spans="2:14" x14ac:dyDescent="0.3">
      <c r="B7" s="10"/>
      <c r="C7" s="6"/>
      <c r="D7" s="56"/>
      <c r="E7" s="57"/>
      <c r="F7" s="57"/>
      <c r="G7" s="57"/>
      <c r="H7" s="57"/>
      <c r="I7" s="57"/>
      <c r="J7" s="57"/>
      <c r="K7" s="57"/>
      <c r="L7" s="58"/>
      <c r="M7" s="6"/>
      <c r="N7" s="11"/>
    </row>
    <row r="8" spans="2:14" ht="23.5" x14ac:dyDescent="0.55000000000000004">
      <c r="B8" s="10"/>
      <c r="C8" s="6"/>
      <c r="D8" s="16"/>
      <c r="E8" s="16"/>
      <c r="F8" s="16"/>
      <c r="G8" s="16"/>
      <c r="H8" s="16"/>
      <c r="I8" s="16"/>
      <c r="J8" s="16"/>
      <c r="K8" s="16"/>
      <c r="L8" s="16"/>
      <c r="M8" s="6"/>
      <c r="N8" s="11"/>
    </row>
    <row r="9" spans="2:14" ht="23.5" x14ac:dyDescent="0.55000000000000004">
      <c r="B9" s="10"/>
      <c r="C9" s="6"/>
      <c r="D9" s="51" t="s">
        <v>1</v>
      </c>
      <c r="E9" s="51"/>
      <c r="F9" s="51"/>
      <c r="G9" s="51"/>
      <c r="H9" s="51"/>
      <c r="I9" s="51"/>
      <c r="J9" s="51"/>
      <c r="K9" s="51"/>
      <c r="L9" s="51"/>
      <c r="M9" s="6"/>
      <c r="N9" s="11"/>
    </row>
    <row r="10" spans="2:14" s="6" customFormat="1" ht="23.5" x14ac:dyDescent="0.55000000000000004">
      <c r="B10" s="10"/>
      <c r="D10" s="17" t="s">
        <v>2</v>
      </c>
      <c r="E10" s="23"/>
      <c r="F10" s="23"/>
      <c r="G10" s="23"/>
      <c r="H10" s="23"/>
      <c r="I10" s="23"/>
      <c r="J10" s="23"/>
      <c r="K10" s="23"/>
      <c r="L10" s="23"/>
      <c r="N10" s="11"/>
    </row>
    <row r="11" spans="2:14" s="6" customFormat="1" ht="12" customHeight="1" x14ac:dyDescent="0.55000000000000004">
      <c r="B11" s="10"/>
      <c r="D11" s="20"/>
      <c r="E11" s="23"/>
      <c r="F11" s="23"/>
      <c r="G11" s="23"/>
      <c r="H11" s="23"/>
      <c r="I11" s="23"/>
      <c r="J11" s="23"/>
      <c r="K11" s="23"/>
      <c r="L11" s="23"/>
      <c r="N11" s="11"/>
    </row>
    <row r="12" spans="2:14" ht="23.5" x14ac:dyDescent="0.55000000000000004">
      <c r="B12" s="10"/>
      <c r="C12" s="6"/>
      <c r="D12" s="17" t="s">
        <v>65</v>
      </c>
      <c r="E12" s="16"/>
      <c r="F12" s="16"/>
      <c r="G12" s="16"/>
      <c r="H12" s="16"/>
      <c r="I12" s="16"/>
      <c r="J12" s="16"/>
      <c r="K12" s="16"/>
      <c r="L12" s="16"/>
      <c r="M12" s="6"/>
      <c r="N12" s="11"/>
    </row>
    <row r="13" spans="2:14" ht="12" customHeight="1" x14ac:dyDescent="0.55000000000000004">
      <c r="B13" s="10"/>
      <c r="C13" s="6"/>
      <c r="D13" s="16"/>
      <c r="E13" s="18"/>
      <c r="F13" s="18"/>
      <c r="G13" s="18"/>
      <c r="H13" s="18"/>
      <c r="I13" s="18"/>
      <c r="J13" s="18"/>
      <c r="K13" s="18"/>
      <c r="L13" s="18"/>
      <c r="M13" s="6"/>
      <c r="N13" s="11"/>
    </row>
    <row r="14" spans="2:14" ht="23.5" x14ac:dyDescent="0.55000000000000004">
      <c r="B14" s="10"/>
      <c r="C14" s="6"/>
      <c r="D14" s="17" t="s">
        <v>9</v>
      </c>
      <c r="E14" s="19"/>
      <c r="F14" s="19"/>
      <c r="G14" s="19"/>
      <c r="H14" s="19"/>
      <c r="I14" s="19"/>
      <c r="J14" s="19"/>
      <c r="K14" s="19"/>
      <c r="L14" s="19"/>
      <c r="M14" s="6"/>
      <c r="N14" s="11"/>
    </row>
    <row r="15" spans="2:14" ht="12.75" customHeight="1" x14ac:dyDescent="0.55000000000000004">
      <c r="B15" s="10"/>
      <c r="C15" s="6"/>
      <c r="D15" s="20"/>
      <c r="E15" s="16"/>
      <c r="F15" s="16"/>
      <c r="G15" s="16"/>
      <c r="H15" s="16"/>
      <c r="I15" s="16"/>
      <c r="J15" s="16"/>
      <c r="K15" s="16"/>
      <c r="L15" s="16"/>
      <c r="M15" s="6"/>
      <c r="N15" s="11"/>
    </row>
    <row r="16" spans="2:14" ht="23.5" x14ac:dyDescent="0.55000000000000004">
      <c r="B16" s="10"/>
      <c r="C16" s="6"/>
      <c r="D16" s="17" t="s">
        <v>67</v>
      </c>
      <c r="E16" s="6"/>
      <c r="F16" s="6"/>
      <c r="G16" s="6"/>
      <c r="H16" s="6"/>
      <c r="I16" s="6"/>
      <c r="J16" s="6"/>
      <c r="K16" s="6"/>
      <c r="L16" s="6"/>
      <c r="M16" s="6"/>
      <c r="N16" s="11"/>
    </row>
    <row r="17" spans="2:14" s="6" customFormat="1" x14ac:dyDescent="0.3">
      <c r="B17" s="10"/>
      <c r="N17" s="11"/>
    </row>
    <row r="18" spans="2:14" ht="23.5" x14ac:dyDescent="0.55000000000000004">
      <c r="B18" s="10"/>
      <c r="C18" s="6"/>
      <c r="D18" s="17" t="s">
        <v>66</v>
      </c>
      <c r="E18" s="6"/>
      <c r="F18" s="6"/>
      <c r="G18" s="6"/>
      <c r="H18" s="6"/>
      <c r="I18" s="6"/>
      <c r="J18" s="6"/>
      <c r="K18" s="6"/>
      <c r="L18" s="6"/>
      <c r="M18" s="6"/>
      <c r="N18" s="11"/>
    </row>
    <row r="19" spans="2:14" ht="15" customHeight="1" x14ac:dyDescent="0.55000000000000004">
      <c r="B19" s="10"/>
      <c r="C19" s="6"/>
      <c r="D19" s="17"/>
      <c r="E19" s="6"/>
      <c r="F19" s="6"/>
      <c r="G19" s="6"/>
      <c r="H19" s="6"/>
      <c r="I19" s="6"/>
      <c r="J19" s="6"/>
      <c r="K19" s="6"/>
      <c r="L19" s="6"/>
      <c r="M19" s="6"/>
      <c r="N19" s="11"/>
    </row>
    <row r="20" spans="2:14" ht="23.5" x14ac:dyDescent="0.55000000000000004">
      <c r="B20" s="10"/>
      <c r="C20" s="6"/>
      <c r="D20" s="17" t="s">
        <v>24</v>
      </c>
      <c r="E20" s="6"/>
      <c r="F20" s="6"/>
      <c r="G20" s="6"/>
      <c r="H20" s="6"/>
      <c r="I20" s="6"/>
      <c r="J20" s="6"/>
      <c r="K20" s="6"/>
      <c r="L20" s="6"/>
      <c r="M20" s="6"/>
      <c r="N20" s="11"/>
    </row>
    <row r="21" spans="2:14" s="6" customFormat="1" x14ac:dyDescent="0.3">
      <c r="B21" s="10"/>
      <c r="N21" s="11"/>
    </row>
    <row r="22" spans="2:14" ht="23.5" x14ac:dyDescent="0.55000000000000004">
      <c r="B22" s="10"/>
      <c r="C22" s="6"/>
      <c r="D22" s="17" t="s">
        <v>52</v>
      </c>
      <c r="E22" s="6"/>
      <c r="F22" s="6"/>
      <c r="G22" s="6"/>
      <c r="H22" s="6"/>
      <c r="I22" s="6"/>
      <c r="J22" s="6"/>
      <c r="K22" s="6"/>
      <c r="L22" s="6"/>
      <c r="M22" s="6"/>
      <c r="N22" s="11"/>
    </row>
    <row r="23" spans="2:14" x14ac:dyDescent="0.3">
      <c r="B23" s="10"/>
      <c r="C23" s="6"/>
      <c r="D23" s="3"/>
      <c r="E23" s="3"/>
      <c r="F23" s="3"/>
      <c r="G23" s="3"/>
      <c r="H23" s="3"/>
      <c r="I23" s="3"/>
      <c r="J23" s="3"/>
      <c r="K23" s="3"/>
      <c r="L23" s="3"/>
      <c r="M23" s="6"/>
      <c r="N23" s="11"/>
    </row>
    <row r="24" spans="2:14" ht="23.5" x14ac:dyDescent="0.55000000000000004">
      <c r="B24" s="10"/>
      <c r="C24" s="6"/>
      <c r="D24" s="17" t="s">
        <v>53</v>
      </c>
      <c r="E24" s="4"/>
      <c r="F24" s="4"/>
      <c r="G24" s="4"/>
      <c r="H24" s="4"/>
      <c r="I24" s="4"/>
      <c r="J24" s="4"/>
      <c r="K24" s="4"/>
      <c r="L24" s="4"/>
      <c r="M24" s="6"/>
      <c r="N24" s="11"/>
    </row>
    <row r="25" spans="2:14" ht="13.5" thickBot="1" x14ac:dyDescent="0.35">
      <c r="B25" s="12"/>
      <c r="C25" s="13"/>
      <c r="D25" s="24"/>
      <c r="E25" s="24"/>
      <c r="F25" s="24"/>
      <c r="G25" s="24"/>
      <c r="H25" s="24"/>
      <c r="I25" s="24"/>
      <c r="J25" s="24"/>
      <c r="K25" s="24"/>
      <c r="L25" s="24"/>
      <c r="M25" s="13"/>
      <c r="N25" s="14"/>
    </row>
    <row r="26" spans="2:14" x14ac:dyDescent="0.3">
      <c r="D26" s="4"/>
      <c r="E26" s="4"/>
      <c r="F26" s="4"/>
      <c r="G26" s="4"/>
      <c r="H26" s="4"/>
      <c r="I26" s="4"/>
      <c r="J26" s="4"/>
      <c r="K26" s="4"/>
      <c r="L26" s="4"/>
      <c r="M26" s="2"/>
    </row>
  </sheetData>
  <mergeCells count="3">
    <mergeCell ref="D9:L9"/>
    <mergeCell ref="D3:L4"/>
    <mergeCell ref="D6:L7"/>
  </mergeCells>
  <hyperlinks>
    <hyperlink ref="D14" location="'Daily Sales Report'!A1" display="Summary" xr:uid="{00000000-0004-0000-0000-000000000000}"/>
    <hyperlink ref="D20" location="'Daily Stock Report'!A1" display="Daily Stock Report" xr:uid="{00000000-0004-0000-0000-000001000000}"/>
    <hyperlink ref="D10" location="Summary!A1" display="Summary" xr:uid="{00000000-0004-0000-0000-000002000000}"/>
    <hyperlink ref="D22" location="Customers!A1" display="Customer Balance" xr:uid="{00000000-0004-0000-0000-000003000000}"/>
    <hyperlink ref="D16" location="'Card Transactions'!A1" display="Card Transactions" xr:uid="{00000000-0004-0000-0000-000004000000}"/>
    <hyperlink ref="D18" location="'Cheque Transactions'!A1" display="Cheque Transactions" xr:uid="{00000000-0004-0000-0000-000005000000}"/>
    <hyperlink ref="D24" location="Vendors!A1" display="Vendor Balance" xr:uid="{00000000-0004-0000-0000-000006000000}"/>
    <hyperlink ref="D12" location="'Daily Purchase Report'!A1" display="Daily Purchase Report" xr:uid="{00000000-0004-0000-0000-000007000000}"/>
  </hyperlinks>
  <printOptions horizontalCentered="1"/>
  <pageMargins left="0.25" right="0.25" top="0.75" bottom="0.75" header="0.3" footer="0.3"/>
  <pageSetup scale="99" orientation="landscape" r:id="rId1"/>
  <headerFooter differentFirst="1" scaleWithDoc="0">
    <oddHeader>&amp;CTD Daily File Summary</oddHeader>
    <oddFooter>&amp;L&amp;D &amp;T&amp;RPage &amp;P of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C3:P31"/>
  <sheetViews>
    <sheetView showGridLines="0" tabSelected="1" topLeftCell="A4" zoomScale="130" zoomScaleNormal="130" workbookViewId="0">
      <selection activeCell="D6" sqref="D6:J7"/>
    </sheetView>
  </sheetViews>
  <sheetFormatPr defaultColWidth="7.1796875" defaultRowHeight="13" x14ac:dyDescent="0.3"/>
  <cols>
    <col min="1" max="2" width="7.1796875" style="6"/>
    <col min="3" max="3" width="8.453125" style="6" bestFit="1" customWidth="1"/>
    <col min="4" max="4" width="18.81640625" style="6" bestFit="1" customWidth="1"/>
    <col min="5" max="5" width="19.54296875" style="6" customWidth="1"/>
    <col min="6" max="6" width="3.1796875" style="6" customWidth="1"/>
    <col min="7" max="7" width="18.54296875" style="6" bestFit="1" customWidth="1"/>
    <col min="8" max="8" width="7.1796875" style="6"/>
    <col min="9" max="9" width="12.7265625" style="6" bestFit="1" customWidth="1"/>
    <col min="10" max="10" width="7.1796875" style="6"/>
    <col min="11" max="11" width="3" style="6" customWidth="1"/>
    <col min="12" max="12" width="23.1796875" style="6" customWidth="1"/>
    <col min="13" max="13" width="11.7265625" style="6" customWidth="1"/>
    <col min="14" max="14" width="2.81640625" style="6" customWidth="1"/>
    <col min="15" max="15" width="19.81640625" style="6" customWidth="1"/>
    <col min="16" max="16" width="11.1796875" style="6" customWidth="1"/>
    <col min="17" max="16384" width="7.1796875" style="6"/>
  </cols>
  <sheetData>
    <row r="3" spans="3:16" ht="21" customHeight="1" x14ac:dyDescent="0.3">
      <c r="D3" s="52" t="s">
        <v>34</v>
      </c>
      <c r="E3" s="52"/>
      <c r="F3" s="52"/>
      <c r="G3" s="52"/>
      <c r="H3" s="52"/>
      <c r="I3" s="52"/>
      <c r="J3" s="52"/>
    </row>
    <row r="4" spans="3:16" ht="9" customHeight="1" x14ac:dyDescent="0.3">
      <c r="D4" s="52"/>
      <c r="E4" s="52"/>
      <c r="F4" s="52"/>
      <c r="G4" s="52"/>
      <c r="H4" s="52"/>
      <c r="I4" s="52"/>
      <c r="J4" s="52"/>
    </row>
    <row r="5" spans="3:16" ht="14.5" x14ac:dyDescent="0.3">
      <c r="D5" s="62"/>
      <c r="E5" s="62"/>
    </row>
    <row r="6" spans="3:16" ht="15" customHeight="1" x14ac:dyDescent="0.3">
      <c r="D6" s="63" t="str">
        <f>'Table Of Contents'!$D$6:$L$6</f>
        <v>Sunday, December 11, 2016</v>
      </c>
      <c r="E6" s="63"/>
      <c r="F6" s="63"/>
      <c r="G6" s="63"/>
      <c r="H6" s="63"/>
      <c r="I6" s="63"/>
      <c r="J6" s="63"/>
    </row>
    <row r="7" spans="3:16" ht="13.9" customHeight="1" x14ac:dyDescent="0.3">
      <c r="D7" s="63"/>
      <c r="E7" s="63"/>
      <c r="F7" s="63"/>
      <c r="G7" s="63"/>
      <c r="H7" s="63"/>
      <c r="I7" s="63"/>
      <c r="J7" s="63"/>
    </row>
    <row r="8" spans="3:16" ht="13.5" thickBot="1" x14ac:dyDescent="0.35"/>
    <row r="9" spans="3:16" ht="15" thickBot="1" x14ac:dyDescent="0.4">
      <c r="D9" s="72" t="s">
        <v>19</v>
      </c>
      <c r="E9" s="66"/>
      <c r="G9" s="49" t="s">
        <v>76</v>
      </c>
      <c r="H9" s="49" t="s">
        <v>77</v>
      </c>
      <c r="I9" s="49"/>
      <c r="J9" s="49"/>
      <c r="L9" s="49" t="s">
        <v>86</v>
      </c>
      <c r="M9" s="49" t="s">
        <v>49</v>
      </c>
      <c r="O9" s="49" t="s">
        <v>88</v>
      </c>
      <c r="P9" s="49" t="s">
        <v>84</v>
      </c>
    </row>
    <row r="10" spans="3:16" ht="15" customHeight="1" x14ac:dyDescent="0.35">
      <c r="C10" s="59" t="s">
        <v>84</v>
      </c>
      <c r="D10" s="71" t="s">
        <v>11</v>
      </c>
      <c r="E10" s="67"/>
      <c r="G10" s="40">
        <v>1000</v>
      </c>
      <c r="H10" s="41"/>
      <c r="I10" s="42">
        <f>H10*G10</f>
        <v>0</v>
      </c>
      <c r="J10" s="43"/>
      <c r="L10" s="50"/>
      <c r="M10" s="50"/>
      <c r="O10" s="50"/>
      <c r="P10" s="50"/>
    </row>
    <row r="11" spans="3:16" ht="15" customHeight="1" x14ac:dyDescent="0.35">
      <c r="C11" s="60"/>
      <c r="D11" s="71" t="s">
        <v>12</v>
      </c>
      <c r="E11" s="68"/>
      <c r="G11" s="44">
        <v>500</v>
      </c>
      <c r="H11" s="45"/>
      <c r="I11" s="42">
        <f>H11*G11</f>
        <v>0</v>
      </c>
      <c r="J11" s="46"/>
    </row>
    <row r="12" spans="3:16" ht="15" customHeight="1" x14ac:dyDescent="0.35">
      <c r="C12" s="60"/>
      <c r="D12" s="71" t="s">
        <v>13</v>
      </c>
      <c r="E12" s="68"/>
      <c r="G12" s="44">
        <v>100</v>
      </c>
      <c r="H12" s="41"/>
      <c r="I12" s="42">
        <f>H12*G12</f>
        <v>0</v>
      </c>
      <c r="J12" s="46"/>
    </row>
    <row r="13" spans="3:16" ht="13.9" customHeight="1" x14ac:dyDescent="0.35">
      <c r="C13" s="60"/>
      <c r="D13" s="71" t="s">
        <v>25</v>
      </c>
      <c r="E13" s="68"/>
      <c r="G13" s="44">
        <v>50</v>
      </c>
      <c r="H13" s="41"/>
      <c r="I13" s="42">
        <f>H13*G13</f>
        <v>0</v>
      </c>
      <c r="J13" s="46"/>
    </row>
    <row r="14" spans="3:16" ht="15" customHeight="1" x14ac:dyDescent="0.35">
      <c r="C14" s="60"/>
      <c r="D14" s="71" t="s">
        <v>89</v>
      </c>
      <c r="E14" s="67"/>
      <c r="G14" s="44">
        <v>20</v>
      </c>
      <c r="H14" s="41"/>
      <c r="I14" s="42">
        <f t="shared" ref="I14:I17" si="0">H14*G14</f>
        <v>0</v>
      </c>
      <c r="J14" s="46"/>
    </row>
    <row r="15" spans="3:16" ht="15" customHeight="1" x14ac:dyDescent="0.35">
      <c r="C15" s="60"/>
      <c r="D15" s="71" t="s">
        <v>90</v>
      </c>
      <c r="E15" s="67"/>
      <c r="G15" s="47">
        <v>10</v>
      </c>
      <c r="H15" s="45"/>
      <c r="I15" s="42">
        <f t="shared" si="0"/>
        <v>0</v>
      </c>
      <c r="J15" s="46"/>
    </row>
    <row r="16" spans="3:16" ht="15" customHeight="1" x14ac:dyDescent="0.35">
      <c r="C16" s="60"/>
      <c r="D16" s="71" t="s">
        <v>27</v>
      </c>
      <c r="E16" s="68"/>
      <c r="G16" s="47">
        <v>5</v>
      </c>
      <c r="H16" s="45"/>
      <c r="I16" s="42">
        <f t="shared" si="0"/>
        <v>0</v>
      </c>
      <c r="J16" s="46"/>
    </row>
    <row r="17" spans="3:10" ht="15" customHeight="1" x14ac:dyDescent="0.35">
      <c r="C17" s="60" t="s">
        <v>25</v>
      </c>
      <c r="D17" s="71" t="s">
        <v>11</v>
      </c>
      <c r="E17" s="68"/>
      <c r="G17" s="47">
        <v>2</v>
      </c>
      <c r="H17" s="45"/>
      <c r="I17" s="42">
        <f t="shared" si="0"/>
        <v>0</v>
      </c>
      <c r="J17" s="46"/>
    </row>
    <row r="18" spans="3:10" ht="14.5" x14ac:dyDescent="0.35">
      <c r="C18" s="60"/>
      <c r="D18" s="71" t="s">
        <v>12</v>
      </c>
      <c r="E18" s="67"/>
      <c r="G18" s="47">
        <v>1</v>
      </c>
      <c r="H18" s="45"/>
      <c r="I18" s="42">
        <f>H18*G16</f>
        <v>0</v>
      </c>
      <c r="J18" s="46"/>
    </row>
    <row r="19" spans="3:10" ht="14.5" x14ac:dyDescent="0.35">
      <c r="C19" s="60"/>
      <c r="D19" s="71" t="s">
        <v>13</v>
      </c>
      <c r="E19" s="68"/>
      <c r="G19" s="47"/>
      <c r="H19" s="45"/>
      <c r="I19" s="42">
        <f>H19*G17</f>
        <v>0</v>
      </c>
      <c r="J19" s="46"/>
    </row>
    <row r="20" spans="3:10" ht="15" thickBot="1" x14ac:dyDescent="0.4">
      <c r="C20" s="60"/>
      <c r="D20" s="71" t="s">
        <v>89</v>
      </c>
      <c r="E20" s="68"/>
      <c r="G20" s="47"/>
      <c r="H20" s="48"/>
      <c r="I20" s="42">
        <f>H20*G18</f>
        <v>0</v>
      </c>
      <c r="J20" s="46"/>
    </row>
    <row r="21" spans="3:10" ht="14.5" x14ac:dyDescent="0.35">
      <c r="C21" s="60"/>
      <c r="D21" s="71" t="s">
        <v>90</v>
      </c>
      <c r="E21" s="67"/>
      <c r="G21" s="49" t="s">
        <v>78</v>
      </c>
      <c r="H21" s="49"/>
      <c r="I21" s="49">
        <f>SUM(I10:I20)</f>
        <v>0</v>
      </c>
      <c r="J21" s="49"/>
    </row>
    <row r="22" spans="3:10" ht="16" customHeight="1" x14ac:dyDescent="0.35">
      <c r="C22" s="60" t="s">
        <v>85</v>
      </c>
      <c r="D22" s="71" t="s">
        <v>11</v>
      </c>
      <c r="E22" s="67"/>
    </row>
    <row r="23" spans="3:10" ht="14.5" x14ac:dyDescent="0.35">
      <c r="C23" s="60"/>
      <c r="D23" s="71" t="s">
        <v>12</v>
      </c>
      <c r="E23" s="67"/>
    </row>
    <row r="24" spans="3:10" ht="14.5" customHeight="1" x14ac:dyDescent="0.35">
      <c r="C24" s="60"/>
      <c r="D24" s="71" t="s">
        <v>13</v>
      </c>
      <c r="E24" s="67"/>
    </row>
    <row r="25" spans="3:10" ht="14.5" x14ac:dyDescent="0.35">
      <c r="C25" s="60"/>
      <c r="D25" s="71" t="s">
        <v>89</v>
      </c>
      <c r="E25" s="67"/>
    </row>
    <row r="26" spans="3:10" ht="15" thickBot="1" x14ac:dyDescent="0.35">
      <c r="C26" s="61"/>
      <c r="D26" s="71" t="s">
        <v>90</v>
      </c>
      <c r="E26" s="69"/>
    </row>
    <row r="27" spans="3:10" ht="14.5" x14ac:dyDescent="0.3">
      <c r="D27" s="71" t="s">
        <v>26</v>
      </c>
      <c r="E27" s="69"/>
    </row>
    <row r="28" spans="3:10" ht="14.5" x14ac:dyDescent="0.3">
      <c r="D28" s="71" t="s">
        <v>87</v>
      </c>
      <c r="E28" s="69"/>
    </row>
    <row r="29" spans="3:10" ht="14.5" x14ac:dyDescent="0.3">
      <c r="D29" s="71" t="s">
        <v>28</v>
      </c>
      <c r="E29" s="69"/>
    </row>
    <row r="30" spans="3:10" ht="14.5" x14ac:dyDescent="0.3">
      <c r="D30" s="71" t="s">
        <v>29</v>
      </c>
      <c r="E30" s="69"/>
    </row>
    <row r="31" spans="3:10" ht="15" thickBot="1" x14ac:dyDescent="0.35">
      <c r="D31" s="73" t="s">
        <v>22</v>
      </c>
      <c r="E31" s="70"/>
    </row>
  </sheetData>
  <mergeCells count="6">
    <mergeCell ref="C10:C16"/>
    <mergeCell ref="C17:C21"/>
    <mergeCell ref="C22:C26"/>
    <mergeCell ref="D5:E5"/>
    <mergeCell ref="D3:J4"/>
    <mergeCell ref="D6:J7"/>
  </mergeCells>
  <printOptions horizontalCentered="1"/>
  <pageMargins left="0.25" right="0.25" top="0.75" bottom="0.75" header="0.3" footer="0.3"/>
  <pageSetup scale="85" orientation="landscape" r:id="rId1"/>
  <headerFooter scaleWithDoc="0">
    <oddHeader>&amp;CTD Daily File Summary</oddHeader>
    <oddFooter>&amp;L&amp;D &amp;T&amp;RPage &amp;P of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D3:P9"/>
  <sheetViews>
    <sheetView showGridLines="0" topLeftCell="B1" workbookViewId="0">
      <selection activeCell="B1" sqref="B1"/>
    </sheetView>
  </sheetViews>
  <sheetFormatPr defaultColWidth="9.26953125" defaultRowHeight="13" x14ac:dyDescent="0.3"/>
  <cols>
    <col min="1" max="1" width="3" style="6" customWidth="1"/>
    <col min="2" max="2" width="3.7265625" style="6" customWidth="1"/>
    <col min="3" max="3" width="16.1796875" style="6" customWidth="1"/>
    <col min="4" max="4" width="6.1796875" style="6" customWidth="1"/>
    <col min="5" max="5" width="12.81640625" style="6" customWidth="1"/>
    <col min="6" max="6" width="23.7265625" style="6" customWidth="1"/>
    <col min="7" max="7" width="15.7265625" style="6" customWidth="1"/>
    <col min="8" max="8" width="13" style="6" customWidth="1"/>
    <col min="9" max="9" width="9" style="6" customWidth="1"/>
    <col min="10" max="10" width="10.7265625" style="6" customWidth="1"/>
    <col min="11" max="11" width="11.26953125" style="6" customWidth="1"/>
    <col min="12" max="12" width="11.81640625" style="6" bestFit="1" customWidth="1"/>
    <col min="13" max="13" width="10.7265625" style="6" bestFit="1" customWidth="1"/>
    <col min="14" max="14" width="11.26953125" style="6" customWidth="1"/>
    <col min="15" max="15" width="9.7265625" style="6" bestFit="1" customWidth="1"/>
    <col min="16" max="16" width="13.1796875" style="6" bestFit="1" customWidth="1"/>
    <col min="17" max="16384" width="9.26953125" style="6"/>
  </cols>
  <sheetData>
    <row r="3" spans="4:16" ht="21" customHeight="1" x14ac:dyDescent="0.3">
      <c r="D3" s="52" t="s">
        <v>65</v>
      </c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</row>
    <row r="4" spans="4:16" ht="9" customHeight="1" x14ac:dyDescent="0.3"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</row>
    <row r="5" spans="4:16" ht="14.5" x14ac:dyDescent="0.3">
      <c r="D5" s="62"/>
      <c r="E5" s="62"/>
      <c r="F5" s="62"/>
      <c r="G5" s="62"/>
    </row>
    <row r="6" spans="4:16" ht="15" customHeight="1" x14ac:dyDescent="0.3">
      <c r="D6" s="63" t="str">
        <f>'Table Of Contents'!$D$6:$L$6</f>
        <v>Sunday, December 11, 2016</v>
      </c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</row>
    <row r="7" spans="4:16" ht="13.9" customHeight="1" x14ac:dyDescent="0.3"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</row>
    <row r="9" spans="4:16" x14ac:dyDescent="0.3">
      <c r="D9" s="15" t="s">
        <v>54</v>
      </c>
      <c r="E9" s="15" t="s">
        <v>55</v>
      </c>
      <c r="F9" s="15" t="s">
        <v>56</v>
      </c>
      <c r="G9" s="15" t="s">
        <v>31</v>
      </c>
      <c r="H9" s="15" t="s">
        <v>57</v>
      </c>
      <c r="I9" s="15" t="s">
        <v>58</v>
      </c>
      <c r="J9" s="15" t="s">
        <v>23</v>
      </c>
      <c r="K9" s="15" t="s">
        <v>59</v>
      </c>
      <c r="L9" s="15" t="s">
        <v>60</v>
      </c>
      <c r="M9" s="15" t="s">
        <v>61</v>
      </c>
      <c r="N9" s="15" t="s">
        <v>63</v>
      </c>
      <c r="O9" s="15" t="s">
        <v>64</v>
      </c>
      <c r="P9" s="15" t="s">
        <v>62</v>
      </c>
    </row>
  </sheetData>
  <mergeCells count="3">
    <mergeCell ref="D3:P4"/>
    <mergeCell ref="D5:G5"/>
    <mergeCell ref="D6:P7"/>
  </mergeCells>
  <printOptions horizontalCentered="1"/>
  <pageMargins left="0.25" right="0.25" top="0.75" bottom="0.75" header="0.3" footer="0.3"/>
  <pageSetup scale="85" orientation="landscape" r:id="rId1"/>
  <headerFooter scaleWithDoc="0">
    <oddHeader>&amp;CTD Daily File Summary</oddHeader>
    <oddFooter>&amp;L&amp;D &amp;T&amp;RPage &amp;P of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B2:X23"/>
  <sheetViews>
    <sheetView showGridLines="0" workbookViewId="0">
      <selection activeCell="D15" sqref="D15"/>
    </sheetView>
  </sheetViews>
  <sheetFormatPr defaultColWidth="9.26953125" defaultRowHeight="13" x14ac:dyDescent="0.3"/>
  <cols>
    <col min="1" max="1" width="3" style="1" customWidth="1"/>
    <col min="2" max="2" width="3.7265625" style="1" customWidth="1"/>
    <col min="3" max="3" width="16.54296875" style="1" customWidth="1"/>
    <col min="4" max="4" width="19.7265625" style="1" customWidth="1"/>
    <col min="5" max="5" width="8.26953125" style="1" customWidth="1"/>
    <col min="6" max="6" width="11.26953125" style="1" customWidth="1"/>
    <col min="7" max="7" width="11.26953125" style="6" customWidth="1"/>
    <col min="8" max="8" width="10.453125" style="1" customWidth="1"/>
    <col min="9" max="9" width="9.1796875" style="1" customWidth="1"/>
    <col min="10" max="10" width="9" style="1" customWidth="1"/>
    <col min="11" max="11" width="12.26953125" style="1" customWidth="1"/>
    <col min="12" max="12" width="11.26953125" style="1" customWidth="1"/>
    <col min="13" max="13" width="11.81640625" style="1" bestFit="1" customWidth="1"/>
    <col min="14" max="14" width="10.81640625" style="1" bestFit="1" customWidth="1"/>
    <col min="15" max="15" width="8.453125" style="1" bestFit="1" customWidth="1"/>
    <col min="16" max="16" width="9.7265625" style="1" bestFit="1" customWidth="1"/>
    <col min="17" max="17" width="13.1796875" style="1" bestFit="1" customWidth="1"/>
    <col min="18" max="18" width="22" style="1" customWidth="1"/>
    <col min="19" max="19" width="9.26953125" style="1"/>
    <col min="20" max="20" width="16.453125" style="1" bestFit="1" customWidth="1"/>
    <col min="21" max="21" width="14" style="1" customWidth="1"/>
    <col min="22" max="22" width="9.26953125" style="1"/>
    <col min="23" max="23" width="19.1796875" style="1" bestFit="1" customWidth="1"/>
    <col min="24" max="24" width="16.54296875" style="1" customWidth="1"/>
    <col min="25" max="16384" width="9.26953125" style="1"/>
  </cols>
  <sheetData>
    <row r="2" spans="2:24" x14ac:dyDescent="0.3">
      <c r="B2" s="6"/>
      <c r="C2" s="6"/>
      <c r="D2" s="6"/>
      <c r="E2" s="6"/>
      <c r="F2" s="6"/>
      <c r="H2" s="6"/>
      <c r="I2" s="6"/>
      <c r="J2" s="6"/>
    </row>
    <row r="3" spans="2:24" ht="21" customHeight="1" x14ac:dyDescent="0.3">
      <c r="B3" s="6"/>
      <c r="C3" s="6"/>
      <c r="D3" s="52" t="s">
        <v>9</v>
      </c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6"/>
      <c r="U3" s="6"/>
    </row>
    <row r="4" spans="2:24" ht="9" customHeight="1" x14ac:dyDescent="0.3">
      <c r="B4" s="6"/>
      <c r="C4" s="6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</row>
    <row r="5" spans="2:24" ht="14.5" x14ac:dyDescent="0.3">
      <c r="B5" s="6"/>
      <c r="C5" s="6"/>
      <c r="D5" s="62"/>
      <c r="E5" s="62"/>
      <c r="F5" s="62"/>
      <c r="G5" s="62"/>
      <c r="H5" s="62"/>
      <c r="I5" s="6"/>
      <c r="J5" s="6"/>
    </row>
    <row r="6" spans="2:24" ht="15" customHeight="1" x14ac:dyDescent="0.3">
      <c r="B6" s="6"/>
      <c r="C6" s="6"/>
      <c r="D6" s="63" t="str">
        <f>'Table Of Contents'!$D$6:$L$6</f>
        <v>Sunday, December 11, 2016</v>
      </c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</row>
    <row r="7" spans="2:24" ht="13.9" customHeight="1" x14ac:dyDescent="0.3">
      <c r="B7" s="6"/>
      <c r="C7" s="6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T7" s="6"/>
      <c r="U7" s="6"/>
      <c r="V7" s="6"/>
      <c r="W7" s="6"/>
      <c r="X7" s="6"/>
    </row>
    <row r="8" spans="2:24" x14ac:dyDescent="0.3">
      <c r="B8" s="6"/>
      <c r="C8" s="6"/>
      <c r="D8" s="6"/>
      <c r="E8" s="6"/>
      <c r="F8" s="6"/>
      <c r="H8" s="6"/>
      <c r="I8" s="6"/>
      <c r="J8" s="6"/>
      <c r="T8" s="6"/>
      <c r="U8" s="6"/>
      <c r="V8" s="6"/>
      <c r="W8" s="6"/>
      <c r="X8" s="6"/>
    </row>
    <row r="9" spans="2:24" x14ac:dyDescent="0.3">
      <c r="B9" s="6"/>
      <c r="C9" s="6"/>
      <c r="D9" s="15" t="s">
        <v>3</v>
      </c>
      <c r="E9" s="15" t="s">
        <v>4</v>
      </c>
      <c r="F9" s="15" t="s">
        <v>5</v>
      </c>
      <c r="G9" s="15" t="s">
        <v>70</v>
      </c>
      <c r="H9" s="15" t="s">
        <v>6</v>
      </c>
      <c r="I9" s="15" t="s">
        <v>7</v>
      </c>
      <c r="J9" s="15" t="s">
        <v>14</v>
      </c>
      <c r="K9" s="15" t="s">
        <v>15</v>
      </c>
      <c r="L9" s="15" t="s">
        <v>16</v>
      </c>
      <c r="M9" s="15" t="s">
        <v>17</v>
      </c>
      <c r="N9" s="15" t="s">
        <v>39</v>
      </c>
      <c r="O9" s="15" t="s">
        <v>40</v>
      </c>
      <c r="P9" s="15" t="s">
        <v>41</v>
      </c>
      <c r="Q9" s="15" t="s">
        <v>8</v>
      </c>
      <c r="R9" s="15" t="s">
        <v>68</v>
      </c>
    </row>
    <row r="10" spans="2:24" ht="13.5" thickBot="1" x14ac:dyDescent="0.35"/>
    <row r="11" spans="2:24" ht="16" thickBot="1" x14ac:dyDescent="0.35">
      <c r="T11" s="64" t="s">
        <v>80</v>
      </c>
      <c r="U11" s="65"/>
      <c r="V11" s="25"/>
      <c r="W11" s="64" t="s">
        <v>81</v>
      </c>
      <c r="X11" s="65"/>
    </row>
    <row r="12" spans="2:24" ht="14" x14ac:dyDescent="0.3">
      <c r="T12" s="39" t="s">
        <v>83</v>
      </c>
      <c r="U12" s="26"/>
      <c r="V12" s="27"/>
      <c r="W12" s="39" t="s">
        <v>83</v>
      </c>
      <c r="X12" s="26"/>
    </row>
    <row r="13" spans="2:24" ht="14" x14ac:dyDescent="0.3">
      <c r="T13" s="35" t="s">
        <v>70</v>
      </c>
      <c r="U13" s="26"/>
      <c r="V13" s="27"/>
      <c r="W13" s="35" t="s">
        <v>70</v>
      </c>
      <c r="X13" s="26"/>
    </row>
    <row r="14" spans="2:24" ht="14" x14ac:dyDescent="0.3">
      <c r="T14" s="35" t="s">
        <v>71</v>
      </c>
      <c r="U14" s="28"/>
      <c r="V14" s="27"/>
      <c r="W14" s="35" t="s">
        <v>71</v>
      </c>
      <c r="X14" s="28"/>
    </row>
    <row r="15" spans="2:24" ht="14.5" thickBot="1" x14ac:dyDescent="0.35">
      <c r="T15" s="35" t="s">
        <v>7</v>
      </c>
      <c r="U15" s="28"/>
      <c r="V15" s="27"/>
      <c r="W15" s="35" t="s">
        <v>7</v>
      </c>
      <c r="X15" s="28"/>
    </row>
    <row r="16" spans="2:24" ht="15.75" customHeight="1" thickBot="1" x14ac:dyDescent="0.35">
      <c r="T16" s="36" t="s">
        <v>72</v>
      </c>
      <c r="U16" s="38">
        <f>U12-U13+U14+U15</f>
        <v>0</v>
      </c>
      <c r="V16" s="29"/>
      <c r="W16" s="36" t="s">
        <v>73</v>
      </c>
      <c r="X16" s="38">
        <f>X12-X13+X14+X15</f>
        <v>0</v>
      </c>
    </row>
    <row r="17" spans="20:24" ht="14.5" thickBot="1" x14ac:dyDescent="0.35">
      <c r="T17" s="30"/>
      <c r="U17" s="30"/>
      <c r="V17" s="31"/>
      <c r="W17" s="32"/>
      <c r="X17" s="33"/>
    </row>
    <row r="18" spans="20:24" ht="16" thickBot="1" x14ac:dyDescent="0.35">
      <c r="T18" s="64" t="s">
        <v>82</v>
      </c>
      <c r="U18" s="65"/>
      <c r="V18" s="25"/>
      <c r="W18" s="64" t="s">
        <v>79</v>
      </c>
      <c r="X18" s="65"/>
    </row>
    <row r="19" spans="20:24" ht="14" x14ac:dyDescent="0.3">
      <c r="T19" s="39" t="s">
        <v>83</v>
      </c>
      <c r="U19" s="26"/>
      <c r="V19" s="34"/>
      <c r="W19" s="39" t="s">
        <v>83</v>
      </c>
      <c r="X19" s="26"/>
    </row>
    <row r="20" spans="20:24" ht="14" x14ac:dyDescent="0.3">
      <c r="T20" s="35" t="s">
        <v>70</v>
      </c>
      <c r="U20" s="26"/>
      <c r="V20" s="27"/>
      <c r="W20" s="35" t="s">
        <v>70</v>
      </c>
      <c r="X20" s="26"/>
    </row>
    <row r="21" spans="20:24" ht="12.75" customHeight="1" x14ac:dyDescent="0.3">
      <c r="T21" s="35" t="s">
        <v>71</v>
      </c>
      <c r="U21" s="28"/>
      <c r="V21" s="27"/>
      <c r="W21" s="35" t="s">
        <v>71</v>
      </c>
      <c r="X21" s="28"/>
    </row>
    <row r="22" spans="20:24" ht="14.5" thickBot="1" x14ac:dyDescent="0.35">
      <c r="T22" s="35" t="s">
        <v>7</v>
      </c>
      <c r="U22" s="28"/>
      <c r="V22" s="27"/>
      <c r="W22" s="35" t="s">
        <v>7</v>
      </c>
      <c r="X22" s="28"/>
    </row>
    <row r="23" spans="20:24" ht="15" thickBot="1" x14ac:dyDescent="0.35">
      <c r="T23" s="36" t="s">
        <v>74</v>
      </c>
      <c r="U23" s="37">
        <f>U19-U20+U21+U22</f>
        <v>0</v>
      </c>
      <c r="V23" s="29"/>
      <c r="W23" s="36" t="s">
        <v>75</v>
      </c>
      <c r="X23" s="38">
        <f>X19+X20+X21+X22</f>
        <v>0</v>
      </c>
    </row>
  </sheetData>
  <mergeCells count="7">
    <mergeCell ref="T18:U18"/>
    <mergeCell ref="W18:X18"/>
    <mergeCell ref="D5:H5"/>
    <mergeCell ref="D3:R4"/>
    <mergeCell ref="D6:R7"/>
    <mergeCell ref="T11:U11"/>
    <mergeCell ref="W11:X11"/>
  </mergeCells>
  <printOptions horizontalCentered="1"/>
  <pageMargins left="0.25" right="0.25" top="0.75" bottom="0.75" header="0.3" footer="0.3"/>
  <pageSetup scale="85" orientation="landscape" r:id="rId1"/>
  <headerFooter scaleWithDoc="0">
    <oddHeader>&amp;CTD Daily File Summary</oddHeader>
    <oddFooter>&amp;L&amp;D &amp;T&amp;RPage &amp;P of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D3:L51"/>
  <sheetViews>
    <sheetView showGridLines="0" workbookViewId="0"/>
  </sheetViews>
  <sheetFormatPr defaultColWidth="9.26953125" defaultRowHeight="13" x14ac:dyDescent="0.3"/>
  <cols>
    <col min="1" max="1" width="3" style="6" customWidth="1"/>
    <col min="2" max="2" width="3.7265625" style="6" customWidth="1"/>
    <col min="3" max="3" width="20.7265625" style="6" customWidth="1"/>
    <col min="4" max="4" width="11.54296875" style="6" customWidth="1"/>
    <col min="5" max="5" width="14.54296875" style="6" customWidth="1"/>
    <col min="6" max="6" width="10.54296875" style="6" bestFit="1" customWidth="1"/>
    <col min="7" max="7" width="9.1796875" style="6" bestFit="1" customWidth="1"/>
    <col min="8" max="8" width="19.1796875" style="6" bestFit="1" customWidth="1"/>
    <col min="9" max="9" width="8.7265625" style="6" bestFit="1" customWidth="1"/>
    <col min="10" max="11" width="11.26953125" style="6" bestFit="1" customWidth="1"/>
    <col min="12" max="12" width="7.453125" style="6" bestFit="1" customWidth="1"/>
    <col min="13" max="13" width="8.453125" style="6" bestFit="1" customWidth="1"/>
    <col min="14" max="14" width="9.7265625" style="6" bestFit="1" customWidth="1"/>
    <col min="15" max="15" width="13.1796875" style="6" bestFit="1" customWidth="1"/>
    <col min="16" max="16384" width="9.26953125" style="6"/>
  </cols>
  <sheetData>
    <row r="3" spans="4:12" ht="21" customHeight="1" x14ac:dyDescent="0.3">
      <c r="D3" s="52" t="s">
        <v>50</v>
      </c>
      <c r="E3" s="52"/>
      <c r="F3" s="52"/>
      <c r="G3" s="52"/>
      <c r="H3" s="52"/>
      <c r="I3" s="52"/>
      <c r="J3" s="52"/>
      <c r="K3" s="52"/>
      <c r="L3" s="52"/>
    </row>
    <row r="4" spans="4:12" ht="9" customHeight="1" x14ac:dyDescent="0.3">
      <c r="D4" s="52"/>
      <c r="E4" s="52"/>
      <c r="F4" s="52"/>
      <c r="G4" s="52"/>
      <c r="H4" s="52"/>
      <c r="I4" s="52"/>
      <c r="J4" s="52"/>
      <c r="K4" s="52"/>
      <c r="L4" s="52"/>
    </row>
    <row r="5" spans="4:12" ht="14.5" x14ac:dyDescent="0.3">
      <c r="D5" s="62"/>
      <c r="E5" s="62"/>
      <c r="F5" s="62"/>
      <c r="G5" s="62"/>
    </row>
    <row r="6" spans="4:12" ht="15" customHeight="1" x14ac:dyDescent="0.3">
      <c r="D6" s="63" t="str">
        <f>'Table Of Contents'!$D$6:$L$6</f>
        <v>Sunday, December 11, 2016</v>
      </c>
      <c r="E6" s="63"/>
      <c r="F6" s="63"/>
      <c r="G6" s="63"/>
      <c r="H6" s="63"/>
      <c r="I6" s="63"/>
      <c r="J6" s="63"/>
      <c r="K6" s="63"/>
      <c r="L6" s="63"/>
    </row>
    <row r="7" spans="4:12" ht="13.9" customHeight="1" x14ac:dyDescent="0.3">
      <c r="D7" s="63"/>
      <c r="E7" s="63"/>
      <c r="F7" s="63"/>
      <c r="G7" s="63"/>
      <c r="H7" s="63"/>
      <c r="I7" s="63"/>
      <c r="J7" s="63"/>
      <c r="K7" s="63"/>
      <c r="L7" s="63"/>
    </row>
    <row r="9" spans="4:12" x14ac:dyDescent="0.3">
      <c r="D9" s="15" t="s">
        <v>42</v>
      </c>
      <c r="E9" s="15" t="s">
        <v>3</v>
      </c>
      <c r="F9" s="15" t="s">
        <v>44</v>
      </c>
      <c r="G9" s="15" t="s">
        <v>43</v>
      </c>
      <c r="H9" s="15" t="s">
        <v>45</v>
      </c>
      <c r="I9" s="15" t="s">
        <v>46</v>
      </c>
      <c r="J9" s="15" t="s">
        <v>47</v>
      </c>
      <c r="K9" s="15" t="s">
        <v>48</v>
      </c>
      <c r="L9" s="15" t="s">
        <v>49</v>
      </c>
    </row>
    <row r="10" spans="4:12" x14ac:dyDescent="0.3">
      <c r="D10" s="21"/>
    </row>
    <row r="11" spans="4:12" x14ac:dyDescent="0.3">
      <c r="D11" s="21"/>
    </row>
    <row r="12" spans="4:12" x14ac:dyDescent="0.3">
      <c r="D12" s="21"/>
    </row>
    <row r="13" spans="4:12" x14ac:dyDescent="0.3">
      <c r="D13" s="21"/>
    </row>
    <row r="14" spans="4:12" x14ac:dyDescent="0.3">
      <c r="D14" s="21"/>
    </row>
    <row r="15" spans="4:12" x14ac:dyDescent="0.3">
      <c r="D15" s="21"/>
    </row>
    <row r="16" spans="4:12" x14ac:dyDescent="0.3">
      <c r="D16" s="21"/>
    </row>
    <row r="17" spans="4:4" x14ac:dyDescent="0.3">
      <c r="D17" s="21"/>
    </row>
    <row r="18" spans="4:4" x14ac:dyDescent="0.3">
      <c r="D18" s="21"/>
    </row>
    <row r="19" spans="4:4" x14ac:dyDescent="0.3">
      <c r="D19" s="21"/>
    </row>
    <row r="20" spans="4:4" x14ac:dyDescent="0.3">
      <c r="D20" s="21"/>
    </row>
    <row r="21" spans="4:4" x14ac:dyDescent="0.3">
      <c r="D21" s="21"/>
    </row>
    <row r="22" spans="4:4" x14ac:dyDescent="0.3">
      <c r="D22" s="21"/>
    </row>
    <row r="23" spans="4:4" x14ac:dyDescent="0.3">
      <c r="D23" s="21"/>
    </row>
    <row r="24" spans="4:4" x14ac:dyDescent="0.3">
      <c r="D24" s="21"/>
    </row>
    <row r="25" spans="4:4" x14ac:dyDescent="0.3">
      <c r="D25" s="21"/>
    </row>
    <row r="26" spans="4:4" x14ac:dyDescent="0.3">
      <c r="D26" s="21"/>
    </row>
    <row r="27" spans="4:4" x14ac:dyDescent="0.3">
      <c r="D27" s="21"/>
    </row>
    <row r="28" spans="4:4" x14ac:dyDescent="0.3">
      <c r="D28" s="21"/>
    </row>
    <row r="29" spans="4:4" x14ac:dyDescent="0.3">
      <c r="D29" s="21"/>
    </row>
    <row r="30" spans="4:4" x14ac:dyDescent="0.3">
      <c r="D30" s="21"/>
    </row>
    <row r="31" spans="4:4" x14ac:dyDescent="0.3">
      <c r="D31" s="21"/>
    </row>
    <row r="32" spans="4:4" x14ac:dyDescent="0.3">
      <c r="D32" s="21"/>
    </row>
    <row r="33" spans="4:4" x14ac:dyDescent="0.3">
      <c r="D33" s="21"/>
    </row>
    <row r="34" spans="4:4" x14ac:dyDescent="0.3">
      <c r="D34" s="21"/>
    </row>
    <row r="35" spans="4:4" x14ac:dyDescent="0.3">
      <c r="D35" s="21"/>
    </row>
    <row r="36" spans="4:4" x14ac:dyDescent="0.3">
      <c r="D36" s="21"/>
    </row>
    <row r="37" spans="4:4" x14ac:dyDescent="0.3">
      <c r="D37" s="21"/>
    </row>
    <row r="38" spans="4:4" x14ac:dyDescent="0.3">
      <c r="D38" s="21"/>
    </row>
    <row r="39" spans="4:4" x14ac:dyDescent="0.3">
      <c r="D39" s="21"/>
    </row>
    <row r="40" spans="4:4" x14ac:dyDescent="0.3">
      <c r="D40" s="21"/>
    </row>
    <row r="41" spans="4:4" x14ac:dyDescent="0.3">
      <c r="D41" s="21"/>
    </row>
    <row r="42" spans="4:4" x14ac:dyDescent="0.3">
      <c r="D42" s="21"/>
    </row>
    <row r="43" spans="4:4" x14ac:dyDescent="0.3">
      <c r="D43" s="21"/>
    </row>
    <row r="44" spans="4:4" x14ac:dyDescent="0.3">
      <c r="D44" s="21"/>
    </row>
    <row r="45" spans="4:4" x14ac:dyDescent="0.3">
      <c r="D45" s="21"/>
    </row>
    <row r="46" spans="4:4" x14ac:dyDescent="0.3">
      <c r="D46" s="21"/>
    </row>
    <row r="47" spans="4:4" x14ac:dyDescent="0.3">
      <c r="D47" s="21"/>
    </row>
    <row r="48" spans="4:4" x14ac:dyDescent="0.3">
      <c r="D48" s="21"/>
    </row>
    <row r="49" spans="4:4" x14ac:dyDescent="0.3">
      <c r="D49" s="21"/>
    </row>
    <row r="50" spans="4:4" x14ac:dyDescent="0.3">
      <c r="D50" s="21"/>
    </row>
    <row r="51" spans="4:4" x14ac:dyDescent="0.3">
      <c r="D51" s="21"/>
    </row>
  </sheetData>
  <mergeCells count="3">
    <mergeCell ref="D3:L4"/>
    <mergeCell ref="D5:G5"/>
    <mergeCell ref="D6:L7"/>
  </mergeCells>
  <printOptions horizontalCentered="1"/>
  <pageMargins left="0.25" right="0.25" top="0.75" bottom="0.75" header="0.3" footer="0.3"/>
  <pageSetup scale="85" orientation="landscape" r:id="rId1"/>
  <headerFooter scaleWithDoc="0">
    <oddHeader>&amp;CTD Daily File Summary</oddHeader>
    <oddFooter>&amp;L&amp;D &amp;T&amp;RPage &amp;P of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D3:L9"/>
  <sheetViews>
    <sheetView showGridLines="0" workbookViewId="0"/>
  </sheetViews>
  <sheetFormatPr defaultColWidth="9.26953125" defaultRowHeight="13" x14ac:dyDescent="0.3"/>
  <cols>
    <col min="1" max="1" width="3" style="6" customWidth="1"/>
    <col min="2" max="2" width="3.7265625" style="6" customWidth="1"/>
    <col min="3" max="3" width="15.54296875" style="6" customWidth="1"/>
    <col min="4" max="4" width="9.453125" style="21" bestFit="1" customWidth="1"/>
    <col min="5" max="5" width="11.54296875" style="6" bestFit="1" customWidth="1"/>
    <col min="6" max="6" width="10.54296875" style="6" bestFit="1" customWidth="1"/>
    <col min="7" max="7" width="9.1796875" style="6" bestFit="1" customWidth="1"/>
    <col min="8" max="8" width="19.1796875" style="6" bestFit="1" customWidth="1"/>
    <col min="9" max="9" width="8.7265625" style="6" bestFit="1" customWidth="1"/>
    <col min="10" max="11" width="11.26953125" style="6" bestFit="1" customWidth="1"/>
    <col min="12" max="12" width="7.453125" style="6" bestFit="1" customWidth="1"/>
    <col min="13" max="13" width="8.453125" style="6" bestFit="1" customWidth="1"/>
    <col min="14" max="14" width="9.7265625" style="6" bestFit="1" customWidth="1"/>
    <col min="15" max="15" width="13.1796875" style="6" bestFit="1" customWidth="1"/>
    <col min="16" max="16384" width="9.26953125" style="6"/>
  </cols>
  <sheetData>
    <row r="3" spans="4:12" ht="21" customHeight="1" x14ac:dyDescent="0.3">
      <c r="D3" s="52" t="s">
        <v>51</v>
      </c>
      <c r="E3" s="52"/>
      <c r="F3" s="52"/>
      <c r="G3" s="52"/>
      <c r="H3" s="52"/>
      <c r="I3" s="52"/>
      <c r="J3" s="52"/>
      <c r="K3" s="52"/>
      <c r="L3" s="52"/>
    </row>
    <row r="4" spans="4:12" ht="9" customHeight="1" x14ac:dyDescent="0.3">
      <c r="D4" s="52"/>
      <c r="E4" s="52"/>
      <c r="F4" s="52"/>
      <c r="G4" s="52"/>
      <c r="H4" s="52"/>
      <c r="I4" s="52"/>
      <c r="J4" s="52"/>
      <c r="K4" s="52"/>
      <c r="L4" s="52"/>
    </row>
    <row r="5" spans="4:12" ht="14.5" x14ac:dyDescent="0.3">
      <c r="D5" s="62"/>
      <c r="E5" s="62"/>
      <c r="F5" s="62"/>
      <c r="G5" s="62"/>
    </row>
    <row r="6" spans="4:12" ht="15" customHeight="1" x14ac:dyDescent="0.3">
      <c r="D6" s="63" t="str">
        <f>'Table Of Contents'!$D$6:$L$6</f>
        <v>Sunday, December 11, 2016</v>
      </c>
      <c r="E6" s="63"/>
      <c r="F6" s="63"/>
      <c r="G6" s="63"/>
      <c r="H6" s="63"/>
      <c r="I6" s="63"/>
      <c r="J6" s="63"/>
      <c r="K6" s="63"/>
      <c r="L6" s="63"/>
    </row>
    <row r="7" spans="4:12" ht="13.9" customHeight="1" x14ac:dyDescent="0.3">
      <c r="D7" s="63"/>
      <c r="E7" s="63"/>
      <c r="F7" s="63"/>
      <c r="G7" s="63"/>
      <c r="H7" s="63"/>
      <c r="I7" s="63"/>
      <c r="J7" s="63"/>
      <c r="K7" s="63"/>
      <c r="L7" s="63"/>
    </row>
    <row r="9" spans="4:12" x14ac:dyDescent="0.3">
      <c r="D9" s="22" t="s">
        <v>42</v>
      </c>
      <c r="E9" s="15" t="s">
        <v>3</v>
      </c>
      <c r="F9" s="15" t="s">
        <v>44</v>
      </c>
      <c r="G9" s="15" t="s">
        <v>43</v>
      </c>
      <c r="H9" s="15" t="s">
        <v>45</v>
      </c>
      <c r="I9" s="15" t="s">
        <v>46</v>
      </c>
      <c r="J9" s="15" t="s">
        <v>47</v>
      </c>
      <c r="K9" s="15" t="s">
        <v>48</v>
      </c>
      <c r="L9" s="15" t="s">
        <v>49</v>
      </c>
    </row>
  </sheetData>
  <mergeCells count="3">
    <mergeCell ref="D3:L4"/>
    <mergeCell ref="D5:G5"/>
    <mergeCell ref="D6:L7"/>
  </mergeCells>
  <printOptions horizontalCentered="1"/>
  <pageMargins left="0.25" right="0.25" top="0.75" bottom="0.75" header="0.3" footer="0.3"/>
  <pageSetup scale="85" orientation="landscape" r:id="rId1"/>
  <headerFooter scaleWithDoc="0">
    <oddHeader>&amp;CTD Daily File Summary</oddHeader>
    <oddFooter>&amp;L&amp;D &amp;T&amp;RPage &amp;P of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D3:H9"/>
  <sheetViews>
    <sheetView showGridLines="0" workbookViewId="0"/>
  </sheetViews>
  <sheetFormatPr defaultColWidth="9.26953125" defaultRowHeight="13" x14ac:dyDescent="0.3"/>
  <cols>
    <col min="1" max="1" width="3" style="6" customWidth="1"/>
    <col min="2" max="2" width="3.7265625" style="6" customWidth="1"/>
    <col min="3" max="3" width="17.453125" style="6" customWidth="1"/>
    <col min="4" max="4" width="13.81640625" style="21" customWidth="1"/>
    <col min="5" max="5" width="20.7265625" style="6" customWidth="1"/>
    <col min="6" max="6" width="16" style="6" customWidth="1"/>
    <col min="7" max="7" width="21.54296875" style="6" customWidth="1"/>
    <col min="8" max="8" width="19.1796875" style="6" bestFit="1" customWidth="1"/>
    <col min="9" max="9" width="8.453125" style="6" bestFit="1" customWidth="1"/>
    <col min="10" max="10" width="9.7265625" style="6" bestFit="1" customWidth="1"/>
    <col min="11" max="11" width="13.1796875" style="6" bestFit="1" customWidth="1"/>
    <col min="12" max="16384" width="9.26953125" style="6"/>
  </cols>
  <sheetData>
    <row r="3" spans="4:8" ht="21" customHeight="1" x14ac:dyDescent="0.3">
      <c r="D3" s="52" t="s">
        <v>51</v>
      </c>
      <c r="E3" s="52"/>
      <c r="F3" s="52"/>
      <c r="G3" s="52"/>
      <c r="H3" s="52"/>
    </row>
    <row r="4" spans="4:8" ht="9" customHeight="1" x14ac:dyDescent="0.3">
      <c r="D4" s="52"/>
      <c r="E4" s="52"/>
      <c r="F4" s="52"/>
      <c r="G4" s="52"/>
      <c r="H4" s="52"/>
    </row>
    <row r="5" spans="4:8" ht="14.5" x14ac:dyDescent="0.3">
      <c r="D5" s="62"/>
      <c r="E5" s="62"/>
      <c r="F5" s="62"/>
      <c r="G5" s="62"/>
    </row>
    <row r="6" spans="4:8" ht="15" customHeight="1" x14ac:dyDescent="0.3">
      <c r="D6" s="63" t="str">
        <f>'Table Of Contents'!$D$6:$L$6</f>
        <v>Sunday, December 11, 2016</v>
      </c>
      <c r="E6" s="63"/>
      <c r="F6" s="63"/>
      <c r="G6" s="63"/>
      <c r="H6" s="63"/>
    </row>
    <row r="7" spans="4:8" ht="13.9" customHeight="1" x14ac:dyDescent="0.3">
      <c r="D7" s="63"/>
      <c r="E7" s="63"/>
      <c r="F7" s="63"/>
      <c r="G7" s="63"/>
      <c r="H7" s="63"/>
    </row>
    <row r="9" spans="4:8" x14ac:dyDescent="0.3">
      <c r="D9" s="22" t="s">
        <v>62</v>
      </c>
      <c r="E9" s="15" t="s">
        <v>68</v>
      </c>
      <c r="F9" s="15" t="s">
        <v>8</v>
      </c>
      <c r="G9" s="15" t="s">
        <v>49</v>
      </c>
      <c r="H9" s="15" t="s">
        <v>69</v>
      </c>
    </row>
  </sheetData>
  <mergeCells count="3">
    <mergeCell ref="D3:H4"/>
    <mergeCell ref="D5:G5"/>
    <mergeCell ref="D6:H7"/>
  </mergeCells>
  <printOptions horizontalCentered="1"/>
  <pageMargins left="0.25" right="0.25" top="0.75" bottom="0.75" header="0.3" footer="0.3"/>
  <pageSetup scale="85" orientation="landscape" r:id="rId1"/>
  <headerFooter scaleWithDoc="0">
    <oddHeader>&amp;CTD Daily File Summary</oddHeader>
    <oddFooter>&amp;L&amp;D &amp;T&amp;RPage &amp;P of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D3:I9"/>
  <sheetViews>
    <sheetView showGridLines="0" workbookViewId="0"/>
  </sheetViews>
  <sheetFormatPr defaultColWidth="7.1796875" defaultRowHeight="13" x14ac:dyDescent="0.3"/>
  <cols>
    <col min="1" max="3" width="7.1796875" style="6"/>
    <col min="4" max="4" width="16" style="6" bestFit="1" customWidth="1"/>
    <col min="5" max="5" width="17.81640625" style="6" customWidth="1"/>
    <col min="6" max="6" width="13.453125" style="6" customWidth="1"/>
    <col min="7" max="7" width="13.7265625" style="6" customWidth="1"/>
    <col min="8" max="8" width="15.26953125" style="6" customWidth="1"/>
    <col min="9" max="9" width="7.81640625" style="6" customWidth="1"/>
    <col min="10" max="16384" width="7.1796875" style="6"/>
  </cols>
  <sheetData>
    <row r="3" spans="4:9" ht="21" customHeight="1" x14ac:dyDescent="0.3">
      <c r="D3" s="52" t="s">
        <v>24</v>
      </c>
      <c r="E3" s="52"/>
      <c r="F3" s="52"/>
      <c r="G3" s="52"/>
      <c r="H3" s="52"/>
      <c r="I3" s="52"/>
    </row>
    <row r="4" spans="4:9" ht="9" customHeight="1" x14ac:dyDescent="0.3">
      <c r="D4" s="52"/>
      <c r="E4" s="52"/>
      <c r="F4" s="52"/>
      <c r="G4" s="52"/>
      <c r="H4" s="52"/>
      <c r="I4" s="52"/>
    </row>
    <row r="5" spans="4:9" ht="14.5" x14ac:dyDescent="0.3">
      <c r="D5" s="62"/>
      <c r="E5" s="62"/>
      <c r="F5" s="62"/>
      <c r="G5" s="62"/>
    </row>
    <row r="6" spans="4:9" ht="15" customHeight="1" x14ac:dyDescent="0.3">
      <c r="D6" s="63" t="str">
        <f>'Table Of Contents'!$D$6:$L$6</f>
        <v>Sunday, December 11, 2016</v>
      </c>
      <c r="E6" s="63"/>
      <c r="F6" s="63"/>
      <c r="G6" s="63"/>
      <c r="H6" s="63"/>
      <c r="I6" s="63"/>
    </row>
    <row r="7" spans="4:9" ht="13.9" customHeight="1" x14ac:dyDescent="0.3">
      <c r="D7" s="63"/>
      <c r="E7" s="63"/>
      <c r="F7" s="63"/>
      <c r="G7" s="63"/>
      <c r="H7" s="63"/>
      <c r="I7" s="63"/>
    </row>
    <row r="9" spans="4:9" x14ac:dyDescent="0.3">
      <c r="D9" s="15" t="s">
        <v>18</v>
      </c>
      <c r="E9" s="15" t="s">
        <v>19</v>
      </c>
      <c r="F9" s="15" t="s">
        <v>20</v>
      </c>
      <c r="G9" s="15" t="s">
        <v>21</v>
      </c>
      <c r="H9" s="15" t="s">
        <v>22</v>
      </c>
      <c r="I9" s="15" t="s">
        <v>23</v>
      </c>
    </row>
  </sheetData>
  <mergeCells count="3">
    <mergeCell ref="D3:I4"/>
    <mergeCell ref="D5:G5"/>
    <mergeCell ref="D6:I7"/>
  </mergeCells>
  <printOptions horizontalCentered="1"/>
  <pageMargins left="0.25" right="0.25" top="0.75" bottom="0.75" header="0.3" footer="0.3"/>
  <pageSetup scale="85" orientation="landscape"/>
  <headerFooter scaleWithDoc="0">
    <oddHeader>&amp;CTD Daily File Summary</oddHeader>
    <oddFooter>&amp;L&amp;D &amp;T&amp;RPage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D3:K9"/>
  <sheetViews>
    <sheetView showGridLines="0" workbookViewId="0">
      <selection activeCell="L29" sqref="L29"/>
    </sheetView>
  </sheetViews>
  <sheetFormatPr defaultColWidth="7.1796875" defaultRowHeight="13" x14ac:dyDescent="0.3"/>
  <cols>
    <col min="1" max="3" width="7.1796875" style="6"/>
    <col min="4" max="4" width="16" style="6" bestFit="1" customWidth="1"/>
    <col min="5" max="6" width="16" style="6" customWidth="1"/>
    <col min="7" max="7" width="17.81640625" style="6" customWidth="1"/>
    <col min="8" max="10" width="13.453125" style="6" customWidth="1"/>
    <col min="11" max="11" width="13.7265625" style="6" customWidth="1"/>
    <col min="12" max="16384" width="7.1796875" style="6"/>
  </cols>
  <sheetData>
    <row r="3" spans="4:11" ht="21" customHeight="1" x14ac:dyDescent="0.3">
      <c r="D3" s="52" t="s">
        <v>52</v>
      </c>
      <c r="E3" s="52"/>
      <c r="F3" s="52"/>
      <c r="G3" s="52"/>
      <c r="H3" s="52"/>
      <c r="I3" s="52"/>
      <c r="J3" s="52"/>
      <c r="K3" s="52"/>
    </row>
    <row r="4" spans="4:11" ht="9" customHeight="1" x14ac:dyDescent="0.3">
      <c r="D4" s="52"/>
      <c r="E4" s="52"/>
      <c r="F4" s="52"/>
      <c r="G4" s="52"/>
      <c r="H4" s="52"/>
      <c r="I4" s="52"/>
      <c r="J4" s="52"/>
      <c r="K4" s="52"/>
    </row>
    <row r="5" spans="4:11" ht="14.5" x14ac:dyDescent="0.3">
      <c r="D5" s="62"/>
      <c r="E5" s="62"/>
      <c r="F5" s="62"/>
      <c r="G5" s="62"/>
      <c r="H5" s="62"/>
      <c r="I5" s="62"/>
      <c r="J5" s="62"/>
      <c r="K5" s="62"/>
    </row>
    <row r="6" spans="4:11" ht="15" customHeight="1" x14ac:dyDescent="0.3">
      <c r="D6" s="63" t="str">
        <f>'Table Of Contents'!$D$6:$L$6</f>
        <v>Sunday, December 11, 2016</v>
      </c>
      <c r="E6" s="63"/>
      <c r="F6" s="63"/>
      <c r="G6" s="63"/>
      <c r="H6" s="63"/>
      <c r="I6" s="63"/>
      <c r="J6" s="63"/>
      <c r="K6" s="63"/>
    </row>
    <row r="7" spans="4:11" ht="13.9" customHeight="1" x14ac:dyDescent="0.3">
      <c r="D7" s="63"/>
      <c r="E7" s="63"/>
      <c r="F7" s="63"/>
      <c r="G7" s="63"/>
      <c r="H7" s="63"/>
      <c r="I7" s="63"/>
      <c r="J7" s="63"/>
      <c r="K7" s="63"/>
    </row>
    <row r="9" spans="4:11" x14ac:dyDescent="0.3">
      <c r="D9" s="15" t="s">
        <v>30</v>
      </c>
      <c r="E9" s="15" t="s">
        <v>36</v>
      </c>
      <c r="F9" s="15" t="s">
        <v>37</v>
      </c>
      <c r="G9" s="15" t="s">
        <v>31</v>
      </c>
      <c r="H9" s="15" t="s">
        <v>32</v>
      </c>
      <c r="I9" s="15" t="s">
        <v>35</v>
      </c>
      <c r="J9" s="15" t="s">
        <v>38</v>
      </c>
      <c r="K9" s="15" t="s">
        <v>33</v>
      </c>
    </row>
  </sheetData>
  <mergeCells count="3">
    <mergeCell ref="D3:K4"/>
    <mergeCell ref="D5:K5"/>
    <mergeCell ref="D6:K7"/>
  </mergeCells>
  <printOptions horizontalCentered="1"/>
  <pageMargins left="0.25" right="0.25" top="0.75" bottom="0.75" header="0.3" footer="0.3"/>
  <pageSetup scale="85" orientation="landscape"/>
  <headerFooter scaleWithDoc="0">
    <oddHeader>&amp;CTD Daily File Summary</oddHeader>
    <oddFooter>&amp;L&amp;D &amp;T&amp;RPage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D3:K9"/>
  <sheetViews>
    <sheetView showGridLines="0" workbookViewId="0"/>
  </sheetViews>
  <sheetFormatPr defaultColWidth="7.1796875" defaultRowHeight="13" x14ac:dyDescent="0.3"/>
  <cols>
    <col min="1" max="3" width="7.1796875" style="6"/>
    <col min="4" max="4" width="16" style="6" bestFit="1" customWidth="1"/>
    <col min="5" max="6" width="16" style="6" customWidth="1"/>
    <col min="7" max="7" width="17.81640625" style="6" customWidth="1"/>
    <col min="8" max="10" width="13.453125" style="6" customWidth="1"/>
    <col min="11" max="11" width="13.7265625" style="6" customWidth="1"/>
    <col min="12" max="16384" width="7.1796875" style="6"/>
  </cols>
  <sheetData>
    <row r="3" spans="4:11" ht="21" customHeight="1" x14ac:dyDescent="0.3">
      <c r="D3" s="52" t="s">
        <v>53</v>
      </c>
      <c r="E3" s="52"/>
      <c r="F3" s="52"/>
      <c r="G3" s="52"/>
      <c r="H3" s="52"/>
      <c r="I3" s="52"/>
      <c r="J3" s="52"/>
      <c r="K3" s="52"/>
    </row>
    <row r="4" spans="4:11" ht="9" customHeight="1" x14ac:dyDescent="0.3">
      <c r="D4" s="52"/>
      <c r="E4" s="52"/>
      <c r="F4" s="52"/>
      <c r="G4" s="52"/>
      <c r="H4" s="52"/>
      <c r="I4" s="52"/>
      <c r="J4" s="52"/>
      <c r="K4" s="52"/>
    </row>
    <row r="5" spans="4:11" ht="14.5" x14ac:dyDescent="0.3">
      <c r="D5" s="62"/>
      <c r="E5" s="62"/>
      <c r="F5" s="62"/>
      <c r="G5" s="62"/>
      <c r="H5" s="62"/>
      <c r="I5" s="62"/>
      <c r="J5" s="62"/>
      <c r="K5" s="62"/>
    </row>
    <row r="6" spans="4:11" ht="15" customHeight="1" x14ac:dyDescent="0.3">
      <c r="D6" s="63" t="str">
        <f>'Table Of Contents'!$D$6:$L$6</f>
        <v>Sunday, December 11, 2016</v>
      </c>
      <c r="E6" s="63"/>
      <c r="F6" s="63"/>
      <c r="G6" s="63"/>
      <c r="H6" s="63"/>
      <c r="I6" s="63"/>
      <c r="J6" s="63"/>
      <c r="K6" s="63"/>
    </row>
    <row r="7" spans="4:11" ht="13.9" customHeight="1" x14ac:dyDescent="0.3">
      <c r="D7" s="63"/>
      <c r="E7" s="63"/>
      <c r="F7" s="63"/>
      <c r="G7" s="63"/>
      <c r="H7" s="63"/>
      <c r="I7" s="63"/>
      <c r="J7" s="63"/>
      <c r="K7" s="63"/>
    </row>
    <row r="9" spans="4:11" x14ac:dyDescent="0.3">
      <c r="D9" s="15" t="s">
        <v>30</v>
      </c>
      <c r="E9" s="15" t="s">
        <v>36</v>
      </c>
      <c r="F9" s="15" t="s">
        <v>37</v>
      </c>
      <c r="G9" s="15" t="s">
        <v>31</v>
      </c>
      <c r="H9" s="15" t="s">
        <v>32</v>
      </c>
      <c r="I9" s="15" t="s">
        <v>35</v>
      </c>
      <c r="J9" s="15" t="s">
        <v>38</v>
      </c>
      <c r="K9" s="15" t="s">
        <v>33</v>
      </c>
    </row>
  </sheetData>
  <mergeCells count="3">
    <mergeCell ref="D3:K4"/>
    <mergeCell ref="D5:K5"/>
    <mergeCell ref="D6:K7"/>
  </mergeCells>
  <printOptions horizontalCentered="1"/>
  <pageMargins left="0.25" right="0.25" top="0.75" bottom="0.75" header="0.3" footer="0.3"/>
  <pageSetup scale="85" orientation="landscape"/>
  <headerFooter scaleWithDoc="0">
    <oddHeader>&amp;CTD Daily File Summary</oddHeader>
    <oddFooter>&amp;L&amp;D &amp;T&amp;RPage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Table Of Contents</vt:lpstr>
      <vt:lpstr>Summary</vt:lpstr>
      <vt:lpstr>Daily Purchase Report</vt:lpstr>
      <vt:lpstr>Daily Sales Report</vt:lpstr>
      <vt:lpstr>Card Transactions</vt:lpstr>
      <vt:lpstr>Cheque Transactions</vt:lpstr>
      <vt:lpstr>Credit Collection</vt:lpstr>
      <vt:lpstr>Daily Stock Report</vt:lpstr>
      <vt:lpstr>Customers</vt:lpstr>
      <vt:lpstr>Vendors</vt:lpstr>
      <vt:lpstr>'Table Of Contents'!Print_Area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Dominick Iacovelli</dc:creator>
  <cp:lastModifiedBy>chandra</cp:lastModifiedBy>
  <cp:lastPrinted>2014-04-30T21:39:31Z</cp:lastPrinted>
  <dcterms:created xsi:type="dcterms:W3CDTF">2014-04-07T21:37:38Z</dcterms:created>
  <dcterms:modified xsi:type="dcterms:W3CDTF">2022-08-30T16:09:57Z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d5232594-40db-4644-850f-45469660e3f4</vt:lpwstr>
  </property>
</Properties>
</file>