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anfe\Restro_Order_Code\Master_RestroOrder\SageFrame\Documents\XLSX\"/>
    </mc:Choice>
  </mc:AlternateContent>
  <xr:revisionPtr revIDLastSave="0" documentId="11_2C73B251BCFEC4C0F34135A0B00706586C3AFE58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able Of Contents" sheetId="1" r:id="rId1"/>
    <sheet name="Summary" sheetId="2" r:id="rId2"/>
    <sheet name="Daily Purchase Report" sheetId="3" r:id="rId3"/>
    <sheet name="Daily Sales Report" sheetId="4" r:id="rId4"/>
    <sheet name="Card Transactions" sheetId="5" r:id="rId5"/>
    <sheet name="Cheque Transactions" sheetId="6" r:id="rId6"/>
    <sheet name="Credit Collection" sheetId="7" r:id="rId7"/>
    <sheet name="Daily Stock Report" sheetId="8" r:id="rId8"/>
    <sheet name="Customers" sheetId="9" r:id="rId9"/>
    <sheet name="Vendors" sheetId="10" r:id="rId10"/>
    <sheet name="Item Sales Report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11" l="1"/>
  <c r="D6" i="10"/>
  <c r="D6" i="9"/>
  <c r="D6" i="8"/>
  <c r="D6" i="7"/>
  <c r="D6" i="6"/>
  <c r="D6" i="5"/>
  <c r="D6" i="4"/>
  <c r="D6" i="3"/>
  <c r="I19" i="2"/>
  <c r="I18" i="2"/>
  <c r="I17" i="2"/>
  <c r="I16" i="2"/>
  <c r="I15" i="2"/>
  <c r="I14" i="2"/>
  <c r="I13" i="2"/>
  <c r="I12" i="2"/>
  <c r="I11" i="2"/>
  <c r="I10" i="2"/>
  <c r="D6" i="2"/>
  <c r="E19" i="1"/>
  <c r="E18" i="1"/>
  <c r="E17" i="1"/>
  <c r="E16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<sst xmlns="http://schemas.openxmlformats.org/spreadsheetml/2006/main" count="183" uniqueCount="103">
  <si>
    <t>RestroOrder Reports</t>
  </si>
  <si>
    <t>Table Of Contents</t>
  </si>
  <si>
    <t>Sunday, December 11, 2016</t>
  </si>
  <si>
    <t>#</t>
  </si>
  <si>
    <t>Report</t>
  </si>
  <si>
    <t>Description</t>
  </si>
  <si>
    <t>Financial overview and cash breakdown</t>
  </si>
  <si>
    <t>Purchases made during the day</t>
  </si>
  <si>
    <t>Bill-by-bill sales with payment breakdown</t>
  </si>
  <si>
    <t>Sales grouped by category and item</t>
  </si>
  <si>
    <t>All card payment transactions</t>
  </si>
  <si>
    <t>All cheque payment transactions</t>
  </si>
  <si>
    <t>Credit payments collected</t>
  </si>
  <si>
    <t>Opening, consumed and closing stock</t>
  </si>
  <si>
    <t>Customer credit balances</t>
  </si>
  <si>
    <t>Vendor balances</t>
  </si>
  <si>
    <t>Back to TOC</t>
  </si>
  <si>
    <t>Daily Summary Report</t>
  </si>
  <si>
    <t>Opening Balance</t>
  </si>
  <si>
    <t>Cash Denomination</t>
  </si>
  <si>
    <t>Qty</t>
  </si>
  <si>
    <t>Total</t>
  </si>
  <si>
    <t>Provider</t>
  </si>
  <si>
    <t>Amount (Rs.)</t>
  </si>
  <si>
    <t>Cost Center</t>
  </si>
  <si>
    <t>Sales (Rs.)</t>
  </si>
  <si>
    <t>Sales</t>
  </si>
  <si>
    <t>Cash</t>
  </si>
  <si>
    <t>Card</t>
  </si>
  <si>
    <t>Cheque</t>
  </si>
  <si>
    <t>Credit</t>
  </si>
  <si>
    <t>eSewa</t>
  </si>
  <si>
    <t>FonePay</t>
  </si>
  <si>
    <t>Surplus/Deficit</t>
  </si>
  <si>
    <t>Advance</t>
  </si>
  <si>
    <t>Total Cash Received</t>
  </si>
  <si>
    <t>Total Expenses</t>
  </si>
  <si>
    <t>Cash In Counter</t>
  </si>
  <si>
    <t>Cash Settlement</t>
  </si>
  <si>
    <t>Closing Balance</t>
  </si>
  <si>
    <t>Daily Purchase Report</t>
  </si>
  <si>
    <t>SN</t>
  </si>
  <si>
    <t>Purchase No.</t>
  </si>
  <si>
    <t>Vendor</t>
  </si>
  <si>
    <t>Address</t>
  </si>
  <si>
    <t>Item Name</t>
  </si>
  <si>
    <t>Unit</t>
  </si>
  <si>
    <t>Rate (Rs.)</t>
  </si>
  <si>
    <t>VAT (Rs.)</t>
  </si>
  <si>
    <t>Fiscal Year</t>
  </si>
  <si>
    <t>Purchased By</t>
  </si>
  <si>
    <t>Date</t>
  </si>
  <si>
    <t>Daily Sales Report</t>
  </si>
  <si>
    <t>Bill No</t>
  </si>
  <si>
    <t>Time</t>
  </si>
  <si>
    <t>Basic Amt</t>
  </si>
  <si>
    <t>Discount</t>
  </si>
  <si>
    <t>Srv. Charge</t>
  </si>
  <si>
    <t>VAT</t>
  </si>
  <si>
    <t>Net Amt</t>
  </si>
  <si>
    <t>Tender Amt</t>
  </si>
  <si>
    <t>Return Amt</t>
  </si>
  <si>
    <t>Received Amt</t>
  </si>
  <si>
    <t>Cheque Amt</t>
  </si>
  <si>
    <t>Card Amt</t>
  </si>
  <si>
    <t>Credit Amt</t>
  </si>
  <si>
    <t>Payment Mode</t>
  </si>
  <si>
    <t>Customer</t>
  </si>
  <si>
    <t>Breakfast (&lt; 12 PM)</t>
  </si>
  <si>
    <t>Lunch (12–4 PM)</t>
  </si>
  <si>
    <t>Sales Amount</t>
  </si>
  <si>
    <t>S. Charge</t>
  </si>
  <si>
    <t>Breakfast Total</t>
  </si>
  <si>
    <t>Lunch Total</t>
  </si>
  <si>
    <t>Dinner (&gt; 4 PM)</t>
  </si>
  <si>
    <t>Grand Total</t>
  </si>
  <si>
    <t>Dinner Total</t>
  </si>
  <si>
    <t>Card Transactions</t>
  </si>
  <si>
    <t>Bill Date</t>
  </si>
  <si>
    <t>Room</t>
  </si>
  <si>
    <t>Table</t>
  </si>
  <si>
    <t>Pay Mode</t>
  </si>
  <si>
    <t>Check #</t>
  </si>
  <si>
    <t>Transaction #</t>
  </si>
  <si>
    <t>Cheque Transactions</t>
  </si>
  <si>
    <t>Credit Collection</t>
  </si>
  <si>
    <t>Received By</t>
  </si>
  <si>
    <t>Daily Stock Report</t>
  </si>
  <si>
    <t>Purchase</t>
  </si>
  <si>
    <t>Consumed</t>
  </si>
  <si>
    <t>Customers</t>
  </si>
  <si>
    <t>Full Name</t>
  </si>
  <si>
    <t>Country</t>
  </si>
  <si>
    <t>City</t>
  </si>
  <si>
    <t>Contact No.</t>
  </si>
  <si>
    <t>Card Number</t>
  </si>
  <si>
    <t>PAN</t>
  </si>
  <si>
    <t>Credit Balance</t>
  </si>
  <si>
    <t>Vendors</t>
  </si>
  <si>
    <t>Item Sales Report</t>
  </si>
  <si>
    <t>Category</t>
  </si>
  <si>
    <t>Unit Price (Rs.)</t>
  </si>
  <si>
    <t>Net Amount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</si>
</sst>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3"/>
      <color rgb="FF1F3864"/>
      <name val="Calibri"/>
      <charset val="1"/>
    </font>
    <font>
      <i/>
      <sz val="10"/>
      <color rgb="FF595959"/>
      <name val="Calibri"/>
      <charset val="1"/>
    </font>
    <font>
      <b/>
      <sz val="10"/>
      <color rgb="FFFFFFFF"/>
      <name val="Calibri"/>
      <charset val="1"/>
    </font>
    <font>
      <u/>
      <sz val="10"/>
      <color rgb="FF1155CC"/>
      <name val="Calibri"/>
      <charset val="1"/>
    </font>
    <font>
      <sz val="10"/>
      <color rgb="FF333333"/>
      <name val="Calibri"/>
      <charset val="1"/>
    </font>
    <font>
      <i/>
      <u/>
      <sz val="9"/>
      <color rgb="FF808080"/>
      <name val="Calibri"/>
      <charset val="1"/>
    </font>
    <font>
      <b/>
      <sz val="10"/>
      <color rgb="FF1F3864"/>
      <name val="Calibri"/>
      <charset val="1"/>
    </font>
    <font>
      <b/>
      <sz val="11"/>
      <color rgb="FF1F3864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2E5395"/>
        <bgColor rgb="FF1155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5" borderId="0" xfId="0" applyFont="1" applyFill="1" applyAlignment="1">
      <alignment horizontal="center"/>
    </xf>
    <xf numFmtId="0" fontId="8" fillId="4" borderId="1" xfId="0" applyFont="1" applyFill="1" applyBorder="1"/>
    <xf numFmtId="0" fontId="8" fillId="4" borderId="0" xfId="0" applyFont="1" applyFill="1"/>
    <xf numFmtId="0" fontId="8" fillId="0" borderId="2" xfId="0" applyFont="1" applyBorder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164" fontId="9" fillId="4" borderId="1" xfId="0" applyNumberFormat="1" applyFont="1" applyFill="1" applyBorder="1"/>
    <xf numFmtId="0" fontId="4" fillId="5" borderId="0" xfId="0" applyFont="1" applyFill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64" fontId="8" fillId="4" borderId="0" xfId="0" applyNumberFormat="1" applyFont="1" applyFill="1"/>
    <xf numFmtId="0" fontId="8" fillId="4" borderId="1" xfId="0" applyFont="1" applyFill="1" applyBorder="1"/>
    <xf numFmtId="164" fontId="8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1155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.7109375" customWidth="1"/>
    <col min="4" max="4" width="5" customWidth="1"/>
    <col min="5" max="5" width="24" customWidth="1"/>
    <col min="6" max="6" width="45" customWidth="1"/>
  </cols>
  <sheetData>
    <row r="1" spans="2:13" ht="27.75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2:13" ht="21.75" customHeight="1" x14ac:dyDescent="0.25">
      <c r="D3" s="8" t="s">
        <v>1</v>
      </c>
      <c r="E3" s="8"/>
      <c r="F3" s="8"/>
      <c r="G3" s="8"/>
      <c r="H3" s="8"/>
      <c r="I3" s="8"/>
      <c r="J3" s="8"/>
      <c r="K3" s="8"/>
      <c r="L3" s="8"/>
      <c r="M3" s="8"/>
    </row>
    <row r="4" spans="2:13" x14ac:dyDescent="0.25">
      <c r="D4" s="8"/>
      <c r="E4" s="8"/>
      <c r="F4" s="8"/>
      <c r="G4" s="8"/>
      <c r="H4" s="8"/>
      <c r="I4" s="8"/>
      <c r="J4" s="8"/>
      <c r="K4" s="8"/>
      <c r="L4" s="8"/>
      <c r="M4" s="8"/>
    </row>
    <row r="6" spans="2:13" ht="15.75" customHeight="1" x14ac:dyDescent="0.25">
      <c r="D6" s="7" t="s">
        <v>2</v>
      </c>
      <c r="E6" s="7"/>
      <c r="F6" s="7"/>
      <c r="G6" s="7"/>
      <c r="H6" s="7"/>
      <c r="I6" s="7"/>
      <c r="J6" s="7"/>
      <c r="K6" s="7"/>
      <c r="L6" s="7"/>
      <c r="M6" s="7"/>
    </row>
    <row r="9" spans="2:13" ht="24" customHeight="1" x14ac:dyDescent="0.25">
      <c r="D9" s="10" t="s">
        <v>3</v>
      </c>
      <c r="E9" s="10" t="s">
        <v>4</v>
      </c>
      <c r="F9" s="10" t="s">
        <v>5</v>
      </c>
    </row>
    <row r="10" spans="2:13" x14ac:dyDescent="0.25">
      <c r="D10" s="11">
        <v>1</v>
      </c>
      <c r="E10" s="12" t="str">
        <f>HYPERLINK("#'Summary'!A1","Summary")</f>
        <v>Summary</v>
      </c>
      <c r="F10" s="6" t="s">
        <v>6</v>
      </c>
      <c r="G10" s="6"/>
      <c r="H10" s="6"/>
      <c r="I10" s="6"/>
      <c r="J10" s="6"/>
      <c r="K10" s="6"/>
      <c r="L10" s="6"/>
      <c r="M10" s="6"/>
    </row>
    <row r="11" spans="2:13" x14ac:dyDescent="0.25">
      <c r="D11" s="14">
        <v>2</v>
      </c>
      <c r="E11" s="15" t="str">
        <f>HYPERLINK("#'Daily Purchase Report'!A1","Daily Purchase Report")</f>
        <v>Daily Purchase Report</v>
      </c>
      <c r="F11" s="5" t="s">
        <v>7</v>
      </c>
      <c r="G11" s="5"/>
      <c r="H11" s="5"/>
      <c r="I11" s="5"/>
      <c r="J11" s="5"/>
      <c r="K11" s="5"/>
      <c r="L11" s="5"/>
      <c r="M11" s="5"/>
    </row>
    <row r="12" spans="2:13" x14ac:dyDescent="0.25">
      <c r="D12" s="11">
        <v>3</v>
      </c>
      <c r="E12" s="12" t="str">
        <f>HYPERLINK("#'Daily Sales Report'!A1","Daily Sales Report")</f>
        <v>Daily Sales Report</v>
      </c>
      <c r="F12" s="6" t="s">
        <v>8</v>
      </c>
      <c r="G12" s="6"/>
      <c r="H12" s="6"/>
      <c r="I12" s="6"/>
      <c r="J12" s="6"/>
      <c r="K12" s="6"/>
      <c r="L12" s="6"/>
      <c r="M12" s="6"/>
    </row>
    <row r="13" spans="2:13" x14ac:dyDescent="0.25">
      <c r="D13" s="14">
        <v>4</v>
      </c>
      <c r="E13" s="15" t="str">
        <f>HYPERLINK("#'Item Sales Report'!A1","Item Sales Report")</f>
        <v>Item Sales Report</v>
      </c>
      <c r="F13" s="5" t="s">
        <v>9</v>
      </c>
      <c r="G13" s="5"/>
      <c r="H13" s="5"/>
      <c r="I13" s="5"/>
      <c r="J13" s="5"/>
      <c r="K13" s="5"/>
      <c r="L13" s="5"/>
      <c r="M13" s="5"/>
    </row>
    <row r="14" spans="2:13" x14ac:dyDescent="0.25">
      <c r="D14" s="11">
        <v>5</v>
      </c>
      <c r="E14" s="12" t="str">
        <f>HYPERLINK("#'Card Transactions'!A1","Card Transactions")</f>
        <v>Card Transactions</v>
      </c>
      <c r="F14" s="6" t="s">
        <v>10</v>
      </c>
      <c r="G14" s="6"/>
      <c r="H14" s="6"/>
      <c r="I14" s="6"/>
      <c r="J14" s="6"/>
      <c r="K14" s="6"/>
      <c r="L14" s="6"/>
      <c r="M14" s="6"/>
    </row>
    <row r="15" spans="2:13" x14ac:dyDescent="0.25">
      <c r="D15" s="14">
        <v>6</v>
      </c>
      <c r="E15" s="15" t="str">
        <f>HYPERLINK("#'Cheque Transactions'!A1","Cheque Transactions")</f>
        <v>Cheque Transactions</v>
      </c>
      <c r="F15" s="5" t="s">
        <v>11</v>
      </c>
      <c r="G15" s="5"/>
      <c r="H15" s="5"/>
      <c r="I15" s="5"/>
      <c r="J15" s="5"/>
      <c r="K15" s="5"/>
      <c r="L15" s="5"/>
      <c r="M15" s="5"/>
    </row>
    <row r="16" spans="2:13" x14ac:dyDescent="0.25">
      <c r="D16" s="11">
        <v>7</v>
      </c>
      <c r="E16" s="12" t="str">
        <f>HYPERLINK("#'Credit Collection'!A1","Credit Collection")</f>
        <v>Credit Collection</v>
      </c>
      <c r="F16" s="6" t="s">
        <v>12</v>
      </c>
      <c r="G16" s="6"/>
      <c r="H16" s="6"/>
      <c r="I16" s="6"/>
      <c r="J16" s="6"/>
      <c r="K16" s="6"/>
      <c r="L16" s="6"/>
      <c r="M16" s="6"/>
    </row>
    <row r="17" spans="4:13" x14ac:dyDescent="0.25">
      <c r="D17" s="14">
        <v>8</v>
      </c>
      <c r="E17" s="15" t="str">
        <f>HYPERLINK("#'Daily Stock Report'!A1","Daily Stock Report")</f>
        <v>Daily Stock Report</v>
      </c>
      <c r="F17" s="5" t="s">
        <v>13</v>
      </c>
      <c r="G17" s="5"/>
      <c r="H17" s="5"/>
      <c r="I17" s="5"/>
      <c r="J17" s="5"/>
      <c r="K17" s="5"/>
      <c r="L17" s="5"/>
      <c r="M17" s="5"/>
    </row>
    <row r="18" spans="4:13" x14ac:dyDescent="0.25">
      <c r="D18" s="11">
        <v>9</v>
      </c>
      <c r="E18" s="12" t="str">
        <f>HYPERLINK("#'Customers'!A1","Customers")</f>
        <v>Customers</v>
      </c>
      <c r="F18" s="6" t="s">
        <v>14</v>
      </c>
      <c r="G18" s="6"/>
      <c r="H18" s="6"/>
      <c r="I18" s="6"/>
      <c r="J18" s="6"/>
      <c r="K18" s="6"/>
      <c r="L18" s="6"/>
      <c r="M18" s="6"/>
    </row>
    <row r="19" spans="4:13" x14ac:dyDescent="0.25">
      <c r="D19" s="14">
        <v>10</v>
      </c>
      <c r="E19" s="15" t="str">
        <f>HYPERLINK("#'Vendors'!A1","Vendors")</f>
        <v>Vendors</v>
      </c>
      <c r="F19" s="5" t="s">
        <v>15</v>
      </c>
      <c r="G19" s="5"/>
      <c r="H19" s="5"/>
      <c r="I19" s="5"/>
      <c r="J19" s="5"/>
      <c r="K19" s="5"/>
      <c r="L19" s="5"/>
      <c r="M19" s="5"/>
    </row>
  </sheetData>
  <mergeCells count="13">
    <mergeCell ref="F17:M17"/>
    <mergeCell ref="F18:M18"/>
    <mergeCell ref="F19:M19"/>
    <mergeCell ref="F12:M12"/>
    <mergeCell ref="F13:M13"/>
    <mergeCell ref="F14:M14"/>
    <mergeCell ref="F15:M15"/>
    <mergeCell ref="F16:M16"/>
    <mergeCell ref="B1:M1"/>
    <mergeCell ref="D3:M4"/>
    <mergeCell ref="D6:M6"/>
    <mergeCell ref="F10:M10"/>
    <mergeCell ref="F11:M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2" customWidth="1"/>
    <col min="4" max="4" width="12" customWidth="1"/>
    <col min="5" max="6" width="14" customWidth="1"/>
    <col min="7" max="7" width="16" customWidth="1"/>
    <col min="8" max="8" width="8" customWidth="1"/>
    <col min="9" max="9" width="12" customWidth="1"/>
    <col min="10" max="10" width="2" customWidth="1"/>
    <col min="11" max="11" width="16" customWidth="1"/>
    <col min="12" max="12" width="14" customWidth="1"/>
    <col min="13" max="13" width="2" customWidth="1"/>
    <col min="14" max="14" width="16" customWidth="1"/>
    <col min="15" max="15" width="13" customWidth="1"/>
  </cols>
  <sheetData>
    <row r="1" spans="1:16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1.75" customHeight="1" x14ac:dyDescent="0.25">
      <c r="D3" s="8" t="s">
        <v>17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6" spans="1:16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9" spans="1:16" ht="19.5" customHeight="1" x14ac:dyDescent="0.25">
      <c r="D9" s="18" t="s">
        <v>18</v>
      </c>
      <c r="F9" s="19"/>
      <c r="G9" s="20" t="s">
        <v>19</v>
      </c>
      <c r="H9" s="20" t="s">
        <v>20</v>
      </c>
      <c r="I9" s="20" t="s">
        <v>21</v>
      </c>
      <c r="K9" s="20" t="s">
        <v>22</v>
      </c>
      <c r="L9" s="20" t="s">
        <v>23</v>
      </c>
      <c r="N9" s="20" t="s">
        <v>24</v>
      </c>
      <c r="O9" s="20" t="s">
        <v>25</v>
      </c>
    </row>
    <row r="10" spans="1:16" x14ac:dyDescent="0.25">
      <c r="D10" s="4" t="s">
        <v>26</v>
      </c>
      <c r="E10" s="16" t="s">
        <v>27</v>
      </c>
      <c r="F10" s="21"/>
      <c r="G10" s="22">
        <v>1000</v>
      </c>
      <c r="H10" s="22"/>
      <c r="I10" s="21">
        <f t="shared" ref="I10:I18" si="0">G10*H10</f>
        <v>0</v>
      </c>
    </row>
    <row r="11" spans="1:16" x14ac:dyDescent="0.25">
      <c r="D11" s="4"/>
      <c r="E11" s="13" t="s">
        <v>28</v>
      </c>
      <c r="F11" s="23"/>
      <c r="G11" s="24">
        <v>500</v>
      </c>
      <c r="H11" s="24"/>
      <c r="I11" s="23">
        <f t="shared" si="0"/>
        <v>0</v>
      </c>
    </row>
    <row r="12" spans="1:16" x14ac:dyDescent="0.25">
      <c r="D12" s="4"/>
      <c r="E12" s="16" t="s">
        <v>29</v>
      </c>
      <c r="F12" s="21"/>
      <c r="G12" s="22">
        <v>100</v>
      </c>
      <c r="H12" s="22"/>
      <c r="I12" s="21">
        <f t="shared" si="0"/>
        <v>0</v>
      </c>
    </row>
    <row r="13" spans="1:16" x14ac:dyDescent="0.25">
      <c r="D13" s="4"/>
      <c r="E13" s="13" t="s">
        <v>30</v>
      </c>
      <c r="F13" s="23"/>
      <c r="G13" s="24">
        <v>50</v>
      </c>
      <c r="H13" s="24"/>
      <c r="I13" s="23">
        <f t="shared" si="0"/>
        <v>0</v>
      </c>
    </row>
    <row r="14" spans="1:16" x14ac:dyDescent="0.25">
      <c r="D14" s="4"/>
      <c r="E14" s="16" t="s">
        <v>31</v>
      </c>
      <c r="F14" s="21"/>
      <c r="G14" s="22">
        <v>20</v>
      </c>
      <c r="H14" s="22"/>
      <c r="I14" s="21">
        <f t="shared" si="0"/>
        <v>0</v>
      </c>
    </row>
    <row r="15" spans="1:16" x14ac:dyDescent="0.25">
      <c r="D15" s="4"/>
      <c r="E15" s="13" t="s">
        <v>32</v>
      </c>
      <c r="F15" s="23"/>
      <c r="G15" s="24">
        <v>10</v>
      </c>
      <c r="H15" s="24"/>
      <c r="I15" s="23">
        <f t="shared" si="0"/>
        <v>0</v>
      </c>
    </row>
    <row r="16" spans="1:16" x14ac:dyDescent="0.25">
      <c r="D16" s="4"/>
      <c r="E16" s="16" t="s">
        <v>33</v>
      </c>
      <c r="F16" s="21"/>
      <c r="G16" s="22">
        <v>5</v>
      </c>
      <c r="H16" s="22"/>
      <c r="I16" s="21">
        <f t="shared" si="0"/>
        <v>0</v>
      </c>
    </row>
    <row r="17" spans="4:9" x14ac:dyDescent="0.25">
      <c r="D17" s="4" t="s">
        <v>30</v>
      </c>
      <c r="E17" s="16" t="s">
        <v>27</v>
      </c>
      <c r="F17" s="21"/>
      <c r="G17" s="24">
        <v>2</v>
      </c>
      <c r="H17" s="24"/>
      <c r="I17" s="23">
        <f t="shared" si="0"/>
        <v>0</v>
      </c>
    </row>
    <row r="18" spans="4:9" x14ac:dyDescent="0.25">
      <c r="D18" s="4"/>
      <c r="E18" s="13" t="s">
        <v>28</v>
      </c>
      <c r="F18" s="23"/>
      <c r="G18" s="22">
        <v>1</v>
      </c>
      <c r="H18" s="22"/>
      <c r="I18" s="21">
        <f t="shared" si="0"/>
        <v>0</v>
      </c>
    </row>
    <row r="19" spans="4:9" x14ac:dyDescent="0.25">
      <c r="D19" s="4"/>
      <c r="E19" s="16" t="s">
        <v>29</v>
      </c>
      <c r="F19" s="21"/>
      <c r="G19" s="3" t="s">
        <v>21</v>
      </c>
      <c r="H19" s="3"/>
      <c r="I19" s="25">
        <f>SUM(I10:I18)</f>
        <v>0</v>
      </c>
    </row>
    <row r="20" spans="4:9" x14ac:dyDescent="0.25">
      <c r="D20" s="4"/>
      <c r="E20" s="13" t="s">
        <v>31</v>
      </c>
      <c r="F20" s="23"/>
    </row>
    <row r="21" spans="4:9" x14ac:dyDescent="0.25">
      <c r="D21" s="4"/>
      <c r="E21" s="16" t="s">
        <v>32</v>
      </c>
      <c r="F21" s="21"/>
    </row>
    <row r="22" spans="4:9" x14ac:dyDescent="0.25">
      <c r="D22" s="4" t="s">
        <v>34</v>
      </c>
      <c r="E22" s="16" t="s">
        <v>27</v>
      </c>
      <c r="F22" s="21"/>
    </row>
    <row r="23" spans="4:9" x14ac:dyDescent="0.25">
      <c r="D23" s="4"/>
      <c r="E23" s="13" t="s">
        <v>28</v>
      </c>
      <c r="F23" s="23"/>
    </row>
    <row r="24" spans="4:9" x14ac:dyDescent="0.25">
      <c r="D24" s="4"/>
      <c r="E24" s="16" t="s">
        <v>29</v>
      </c>
      <c r="F24" s="21"/>
    </row>
    <row r="25" spans="4:9" x14ac:dyDescent="0.25">
      <c r="D25" s="4"/>
      <c r="E25" s="13" t="s">
        <v>31</v>
      </c>
      <c r="F25" s="23"/>
    </row>
    <row r="26" spans="4:9" x14ac:dyDescent="0.25">
      <c r="D26" s="4"/>
      <c r="E26" s="16" t="s">
        <v>32</v>
      </c>
      <c r="F26" s="21"/>
    </row>
    <row r="27" spans="4:9" x14ac:dyDescent="0.25">
      <c r="D27" s="2" t="s">
        <v>35</v>
      </c>
      <c r="E27" s="2"/>
      <c r="F27" s="27"/>
    </row>
    <row r="28" spans="4:9" x14ac:dyDescent="0.25">
      <c r="D28" s="2" t="s">
        <v>36</v>
      </c>
      <c r="E28" s="2"/>
      <c r="F28" s="27"/>
    </row>
    <row r="29" spans="4:9" x14ac:dyDescent="0.25">
      <c r="D29" s="2" t="s">
        <v>37</v>
      </c>
      <c r="E29" s="2"/>
      <c r="F29" s="27"/>
    </row>
    <row r="30" spans="4:9" x14ac:dyDescent="0.25">
      <c r="D30" s="2" t="s">
        <v>38</v>
      </c>
      <c r="E30" s="2"/>
      <c r="F30" s="27"/>
    </row>
    <row r="31" spans="4:9" x14ac:dyDescent="0.25">
      <c r="D31" s="2" t="s">
        <v>39</v>
      </c>
      <c r="E31" s="2"/>
      <c r="F31" s="27"/>
    </row>
  </sheetData>
  <mergeCells count="12">
    <mergeCell ref="D31:E31"/>
    <mergeCell ref="D22:D26"/>
    <mergeCell ref="D27:E27"/>
    <mergeCell ref="D28:E28"/>
    <mergeCell ref="D29:E29"/>
    <mergeCell ref="D30:E30"/>
    <mergeCell ref="B1:P1"/>
    <mergeCell ref="D3:P4"/>
    <mergeCell ref="D6:P6"/>
    <mergeCell ref="D10:D16"/>
    <mergeCell ref="D17:D21"/>
    <mergeCell ref="G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6" customWidth="1"/>
    <col min="5" max="5" width="14" customWidth="1"/>
    <col min="6" max="6" width="16" customWidth="1"/>
    <col min="7" max="7" width="20" customWidth="1"/>
    <col min="8" max="8" width="18" customWidth="1"/>
    <col min="9" max="9" width="8" customWidth="1"/>
    <col min="10" max="10" width="9" customWidth="1"/>
    <col min="11" max="12" width="12" customWidth="1"/>
    <col min="13" max="13" width="13" customWidth="1"/>
    <col min="14" max="14" width="12" customWidth="1"/>
    <col min="15" max="15" width="14" customWidth="1"/>
    <col min="16" max="16" width="13" customWidth="1"/>
  </cols>
  <sheetData>
    <row r="1" spans="1:16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1.75" customHeight="1" x14ac:dyDescent="0.25">
      <c r="D3" s="8" t="s">
        <v>40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6" spans="1:16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9" spans="1:16" ht="24" customHeight="1" x14ac:dyDescent="0.25">
      <c r="D9" s="10" t="s">
        <v>41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20</v>
      </c>
      <c r="J9" s="10" t="s">
        <v>46</v>
      </c>
      <c r="K9" s="10" t="s">
        <v>47</v>
      </c>
      <c r="L9" s="10" t="s">
        <v>48</v>
      </c>
      <c r="M9" s="10" t="s">
        <v>23</v>
      </c>
      <c r="N9" s="10" t="s">
        <v>49</v>
      </c>
      <c r="O9" s="10" t="s">
        <v>50</v>
      </c>
      <c r="P9" s="10" t="s">
        <v>51</v>
      </c>
    </row>
  </sheetData>
  <mergeCells count="3">
    <mergeCell ref="B1:P1"/>
    <mergeCell ref="D3:P4"/>
    <mergeCell ref="D6:P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3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14" customWidth="1"/>
    <col min="5" max="5" width="10" customWidth="1"/>
    <col min="6" max="6" width="11" customWidth="1"/>
    <col min="7" max="7" width="10" customWidth="1"/>
    <col min="8" max="8" width="12" customWidth="1"/>
    <col min="9" max="9" width="8" customWidth="1"/>
    <col min="10" max="12" width="11" customWidth="1"/>
    <col min="13" max="13" width="12" customWidth="1"/>
    <col min="14" max="14" width="11" customWidth="1"/>
    <col min="15" max="15" width="10" customWidth="1"/>
    <col min="16" max="16" width="11" customWidth="1"/>
    <col min="17" max="18" width="20" customWidth="1"/>
    <col min="19" max="19" width="2" customWidth="1"/>
    <col min="20" max="20" width="14" customWidth="1"/>
    <col min="21" max="21" width="12" customWidth="1"/>
    <col min="22" max="22" width="2" customWidth="1"/>
    <col min="23" max="23" width="16" customWidth="1"/>
    <col min="24" max="24" width="12" customWidth="1"/>
  </cols>
  <sheetData>
    <row r="1" spans="1:24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3" spans="1:24" ht="21.75" customHeight="1" x14ac:dyDescent="0.25">
      <c r="D3" s="8" t="s">
        <v>52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5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6" spans="1:24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9" spans="1:24" ht="24" customHeight="1" x14ac:dyDescent="0.25">
      <c r="D9" s="10" t="s">
        <v>53</v>
      </c>
      <c r="E9" s="10" t="s">
        <v>54</v>
      </c>
      <c r="F9" s="10" t="s">
        <v>55</v>
      </c>
      <c r="G9" s="10" t="s">
        <v>56</v>
      </c>
      <c r="H9" s="10" t="s">
        <v>57</v>
      </c>
      <c r="I9" s="10" t="s">
        <v>58</v>
      </c>
      <c r="J9" s="10" t="s">
        <v>59</v>
      </c>
      <c r="K9" s="10" t="s">
        <v>60</v>
      </c>
      <c r="L9" s="10" t="s">
        <v>61</v>
      </c>
      <c r="M9" s="10" t="s">
        <v>62</v>
      </c>
      <c r="N9" s="10" t="s">
        <v>63</v>
      </c>
      <c r="O9" s="10" t="s">
        <v>64</v>
      </c>
      <c r="P9" s="10" t="s">
        <v>65</v>
      </c>
      <c r="Q9" s="10" t="s">
        <v>66</v>
      </c>
      <c r="R9" s="10" t="s">
        <v>67</v>
      </c>
    </row>
    <row r="11" spans="1:24" x14ac:dyDescent="0.25">
      <c r="T11" s="1" t="s">
        <v>68</v>
      </c>
      <c r="U11" s="1"/>
      <c r="W11" s="1" t="s">
        <v>69</v>
      </c>
      <c r="X11" s="1"/>
    </row>
    <row r="12" spans="1:24" x14ac:dyDescent="0.25">
      <c r="T12" s="16" t="s">
        <v>70</v>
      </c>
      <c r="U12" s="21"/>
      <c r="W12" s="16" t="s">
        <v>70</v>
      </c>
      <c r="X12" s="21"/>
    </row>
    <row r="13" spans="1:24" x14ac:dyDescent="0.25">
      <c r="T13" s="13" t="s">
        <v>56</v>
      </c>
      <c r="U13" s="23"/>
      <c r="W13" s="13" t="s">
        <v>56</v>
      </c>
      <c r="X13" s="23"/>
    </row>
    <row r="14" spans="1:24" x14ac:dyDescent="0.25">
      <c r="T14" s="16" t="s">
        <v>71</v>
      </c>
      <c r="U14" s="21"/>
      <c r="W14" s="16" t="s">
        <v>71</v>
      </c>
      <c r="X14" s="21"/>
    </row>
    <row r="15" spans="1:24" x14ac:dyDescent="0.25">
      <c r="T15" s="13" t="s">
        <v>58</v>
      </c>
      <c r="U15" s="23"/>
      <c r="W15" s="13" t="s">
        <v>58</v>
      </c>
      <c r="X15" s="23"/>
    </row>
    <row r="16" spans="1:24" x14ac:dyDescent="0.25">
      <c r="T16" s="26" t="s">
        <v>72</v>
      </c>
      <c r="U16" s="27"/>
      <c r="W16" s="26" t="s">
        <v>73</v>
      </c>
      <c r="X16" s="27"/>
    </row>
    <row r="18" spans="20:24" x14ac:dyDescent="0.25">
      <c r="T18" s="1" t="s">
        <v>74</v>
      </c>
      <c r="U18" s="1"/>
      <c r="W18" s="1" t="s">
        <v>75</v>
      </c>
      <c r="X18" s="1"/>
    </row>
    <row r="19" spans="20:24" x14ac:dyDescent="0.25">
      <c r="T19" s="16" t="s">
        <v>70</v>
      </c>
      <c r="U19" s="21"/>
      <c r="W19" s="16" t="s">
        <v>70</v>
      </c>
      <c r="X19" s="21"/>
    </row>
    <row r="20" spans="20:24" x14ac:dyDescent="0.25">
      <c r="T20" s="13" t="s">
        <v>56</v>
      </c>
      <c r="U20" s="23"/>
      <c r="W20" s="13" t="s">
        <v>56</v>
      </c>
      <c r="X20" s="23"/>
    </row>
    <row r="21" spans="20:24" x14ac:dyDescent="0.25">
      <c r="T21" s="16" t="s">
        <v>71</v>
      </c>
      <c r="U21" s="21"/>
      <c r="W21" s="16" t="s">
        <v>71</v>
      </c>
      <c r="X21" s="21"/>
    </row>
    <row r="22" spans="20:24" x14ac:dyDescent="0.25">
      <c r="T22" s="13" t="s">
        <v>58</v>
      </c>
      <c r="U22" s="23"/>
      <c r="W22" s="13" t="s">
        <v>58</v>
      </c>
      <c r="X22" s="23"/>
    </row>
    <row r="23" spans="20:24" x14ac:dyDescent="0.25">
      <c r="T23" s="26" t="s">
        <v>76</v>
      </c>
      <c r="U23" s="27"/>
      <c r="W23" s="26" t="s">
        <v>75</v>
      </c>
      <c r="X23" s="27"/>
    </row>
  </sheetData>
  <mergeCells count="7">
    <mergeCell ref="T18:U18"/>
    <mergeCell ref="W18:X18"/>
    <mergeCell ref="B1:X1"/>
    <mergeCell ref="D3:X4"/>
    <mergeCell ref="D6:X6"/>
    <mergeCell ref="T11:U11"/>
    <mergeCell ref="W11:X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14" customWidth="1"/>
    <col min="5" max="5" width="12" customWidth="1"/>
    <col min="6" max="7" width="10" customWidth="1"/>
    <col min="8" max="8" width="16" customWidth="1"/>
    <col min="9" max="9" width="12" customWidth="1"/>
    <col min="10" max="10" width="10" customWidth="1"/>
    <col min="11" max="11" width="15" customWidth="1"/>
    <col min="12" max="12" width="14" customWidth="1"/>
  </cols>
  <sheetData>
    <row r="1" spans="1:12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21.75" customHeight="1" x14ac:dyDescent="0.25">
      <c r="D3" s="8" t="s">
        <v>77</v>
      </c>
      <c r="E3" s="8"/>
      <c r="F3" s="8"/>
      <c r="G3" s="8"/>
      <c r="H3" s="8"/>
      <c r="I3" s="8"/>
      <c r="J3" s="8"/>
      <c r="K3" s="8"/>
      <c r="L3" s="8"/>
    </row>
    <row r="4" spans="1:12" x14ac:dyDescent="0.25">
      <c r="D4" s="8"/>
      <c r="E4" s="8"/>
      <c r="F4" s="8"/>
      <c r="G4" s="8"/>
      <c r="H4" s="8"/>
      <c r="I4" s="8"/>
      <c r="J4" s="8"/>
      <c r="K4" s="8"/>
      <c r="L4" s="8"/>
    </row>
    <row r="6" spans="1:12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  <c r="J6" s="7"/>
      <c r="K6" s="7"/>
      <c r="L6" s="7"/>
    </row>
    <row r="9" spans="1:12" ht="24" customHeight="1" x14ac:dyDescent="0.25">
      <c r="D9" s="10" t="s">
        <v>78</v>
      </c>
      <c r="E9" s="10" t="s">
        <v>53</v>
      </c>
      <c r="F9" s="10" t="s">
        <v>79</v>
      </c>
      <c r="G9" s="10" t="s">
        <v>80</v>
      </c>
      <c r="H9" s="10" t="s">
        <v>22</v>
      </c>
      <c r="I9" s="10" t="s">
        <v>81</v>
      </c>
      <c r="J9" s="10" t="s">
        <v>82</v>
      </c>
      <c r="K9" s="10" t="s">
        <v>83</v>
      </c>
      <c r="L9" s="10" t="s">
        <v>23</v>
      </c>
    </row>
  </sheetData>
  <mergeCells count="3">
    <mergeCell ref="B1:L1"/>
    <mergeCell ref="D3:L4"/>
    <mergeCell ref="D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14" customWidth="1"/>
    <col min="5" max="5" width="12" customWidth="1"/>
    <col min="6" max="7" width="10" customWidth="1"/>
    <col min="8" max="8" width="16" customWidth="1"/>
    <col min="9" max="9" width="12" customWidth="1"/>
    <col min="10" max="10" width="10" customWidth="1"/>
    <col min="11" max="11" width="15" customWidth="1"/>
    <col min="12" max="12" width="14" customWidth="1"/>
  </cols>
  <sheetData>
    <row r="1" spans="1:12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21.75" customHeight="1" x14ac:dyDescent="0.25">
      <c r="D3" s="8" t="s">
        <v>84</v>
      </c>
      <c r="E3" s="8"/>
      <c r="F3" s="8"/>
      <c r="G3" s="8"/>
      <c r="H3" s="8"/>
      <c r="I3" s="8"/>
      <c r="J3" s="8"/>
      <c r="K3" s="8"/>
      <c r="L3" s="8"/>
    </row>
    <row r="4" spans="1:12" x14ac:dyDescent="0.25">
      <c r="D4" s="8"/>
      <c r="E4" s="8"/>
      <c r="F4" s="8"/>
      <c r="G4" s="8"/>
      <c r="H4" s="8"/>
      <c r="I4" s="8"/>
      <c r="J4" s="8"/>
      <c r="K4" s="8"/>
      <c r="L4" s="8"/>
    </row>
    <row r="6" spans="1:12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  <c r="J6" s="7"/>
      <c r="K6" s="7"/>
      <c r="L6" s="7"/>
    </row>
    <row r="9" spans="1:12" ht="24" customHeight="1" x14ac:dyDescent="0.25">
      <c r="D9" s="10" t="s">
        <v>78</v>
      </c>
      <c r="E9" s="10" t="s">
        <v>53</v>
      </c>
      <c r="F9" s="10" t="s">
        <v>79</v>
      </c>
      <c r="G9" s="10" t="s">
        <v>80</v>
      </c>
      <c r="H9" s="10" t="s">
        <v>22</v>
      </c>
      <c r="I9" s="10" t="s">
        <v>81</v>
      </c>
      <c r="J9" s="10" t="s">
        <v>82</v>
      </c>
      <c r="K9" s="10" t="s">
        <v>83</v>
      </c>
      <c r="L9" s="10" t="s">
        <v>23</v>
      </c>
    </row>
  </sheetData>
  <mergeCells count="3">
    <mergeCell ref="B1:L1"/>
    <mergeCell ref="D3:L4"/>
    <mergeCell ref="D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5" width="20" customWidth="1"/>
    <col min="6" max="7" width="14" customWidth="1"/>
    <col min="8" max="8" width="16" customWidth="1"/>
  </cols>
  <sheetData>
    <row r="1" spans="1:8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</row>
    <row r="3" spans="1:8" ht="21.75" customHeight="1" x14ac:dyDescent="0.25">
      <c r="D3" s="8" t="s">
        <v>85</v>
      </c>
      <c r="E3" s="8"/>
      <c r="F3" s="8"/>
      <c r="G3" s="8"/>
      <c r="H3" s="8"/>
    </row>
    <row r="4" spans="1:8" x14ac:dyDescent="0.25">
      <c r="D4" s="8"/>
      <c r="E4" s="8"/>
      <c r="F4" s="8"/>
      <c r="G4" s="8"/>
      <c r="H4" s="8"/>
    </row>
    <row r="6" spans="1:8" ht="15.75" customHeight="1" x14ac:dyDescent="0.25">
      <c r="D6" s="7" t="str">
        <f>'Table Of Contents'!$D$6</f>
        <v>Sunday, December 11, 2016</v>
      </c>
      <c r="E6" s="7"/>
      <c r="F6" s="7"/>
      <c r="G6" s="7"/>
      <c r="H6" s="7"/>
    </row>
    <row r="9" spans="1:8" ht="24" customHeight="1" x14ac:dyDescent="0.25">
      <c r="D9" s="10" t="s">
        <v>51</v>
      </c>
      <c r="E9" s="10" t="s">
        <v>67</v>
      </c>
      <c r="F9" s="10" t="s">
        <v>66</v>
      </c>
      <c r="G9" s="10" t="s">
        <v>23</v>
      </c>
      <c r="H9" s="10" t="s">
        <v>86</v>
      </c>
    </row>
  </sheetData>
  <mergeCells count="3">
    <mergeCell ref="B1:H1"/>
    <mergeCell ref="D3:H4"/>
    <mergeCell ref="D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22" customWidth="1"/>
    <col min="5" max="5" width="16" customWidth="1"/>
    <col min="6" max="7" width="12" customWidth="1"/>
    <col min="8" max="8" width="16" customWidth="1"/>
    <col min="9" max="9" width="10" customWidth="1"/>
  </cols>
  <sheetData>
    <row r="1" spans="1:9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</row>
    <row r="3" spans="1:9" ht="21.75" customHeight="1" x14ac:dyDescent="0.25">
      <c r="D3" s="8" t="s">
        <v>87</v>
      </c>
      <c r="E3" s="8"/>
      <c r="F3" s="8"/>
      <c r="G3" s="8"/>
      <c r="H3" s="8"/>
      <c r="I3" s="8"/>
    </row>
    <row r="4" spans="1:9" x14ac:dyDescent="0.25">
      <c r="D4" s="8"/>
      <c r="E4" s="8"/>
      <c r="F4" s="8"/>
      <c r="G4" s="8"/>
      <c r="H4" s="8"/>
      <c r="I4" s="8"/>
    </row>
    <row r="6" spans="1:9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</row>
    <row r="9" spans="1:9" ht="24" customHeight="1" x14ac:dyDescent="0.25">
      <c r="D9" s="10" t="s">
        <v>45</v>
      </c>
      <c r="E9" s="10" t="s">
        <v>18</v>
      </c>
      <c r="F9" s="10" t="s">
        <v>88</v>
      </c>
      <c r="G9" s="10" t="s">
        <v>89</v>
      </c>
      <c r="H9" s="10" t="s">
        <v>39</v>
      </c>
      <c r="I9" s="10" t="s">
        <v>46</v>
      </c>
    </row>
  </sheetData>
  <mergeCells count="3">
    <mergeCell ref="B1:I1"/>
    <mergeCell ref="D3:I4"/>
    <mergeCell ref="D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18" customWidth="1"/>
    <col min="5" max="6" width="12" customWidth="1"/>
    <col min="7" max="7" width="18" customWidth="1"/>
    <col min="8" max="9" width="14" customWidth="1"/>
    <col min="10" max="10" width="12" customWidth="1"/>
    <col min="11" max="11" width="14" customWidth="1"/>
  </cols>
  <sheetData>
    <row r="1" spans="1:11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</row>
    <row r="3" spans="1:11" ht="21.75" customHeight="1" x14ac:dyDescent="0.25">
      <c r="D3" s="8" t="s">
        <v>90</v>
      </c>
      <c r="E3" s="8"/>
      <c r="F3" s="8"/>
      <c r="G3" s="8"/>
      <c r="H3" s="8"/>
      <c r="I3" s="8"/>
      <c r="J3" s="8"/>
      <c r="K3" s="8"/>
    </row>
    <row r="4" spans="1:11" x14ac:dyDescent="0.25">
      <c r="D4" s="8"/>
      <c r="E4" s="8"/>
      <c r="F4" s="8"/>
      <c r="G4" s="8"/>
      <c r="H4" s="8"/>
      <c r="I4" s="8"/>
      <c r="J4" s="8"/>
      <c r="K4" s="8"/>
    </row>
    <row r="6" spans="1:11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  <c r="J6" s="7"/>
      <c r="K6" s="7"/>
    </row>
    <row r="9" spans="1:11" ht="24" customHeight="1" x14ac:dyDescent="0.25">
      <c r="D9" s="10" t="s">
        <v>91</v>
      </c>
      <c r="E9" s="10" t="s">
        <v>92</v>
      </c>
      <c r="F9" s="10" t="s">
        <v>93</v>
      </c>
      <c r="G9" s="10" t="s">
        <v>44</v>
      </c>
      <c r="H9" s="10" t="s">
        <v>94</v>
      </c>
      <c r="I9" s="10" t="s">
        <v>95</v>
      </c>
      <c r="J9" s="10" t="s">
        <v>96</v>
      </c>
      <c r="K9" s="10" t="s">
        <v>97</v>
      </c>
    </row>
  </sheetData>
  <mergeCells count="3">
    <mergeCell ref="B1:K1"/>
    <mergeCell ref="D3:K4"/>
    <mergeCell ref="D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18" customWidth="1"/>
    <col min="5" max="6" width="12" customWidth="1"/>
    <col min="7" max="7" width="18" customWidth="1"/>
    <col min="8" max="9" width="14" customWidth="1"/>
    <col min="10" max="10" width="12" customWidth="1"/>
    <col min="11" max="11" width="14" customWidth="1"/>
  </cols>
  <sheetData>
    <row r="1" spans="1:11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</row>
    <row r="3" spans="1:11" ht="21.75" customHeight="1" x14ac:dyDescent="0.25">
      <c r="D3" s="8" t="s">
        <v>98</v>
      </c>
      <c r="E3" s="8"/>
      <c r="F3" s="8"/>
      <c r="G3" s="8"/>
      <c r="H3" s="8"/>
      <c r="I3" s="8"/>
      <c r="J3" s="8"/>
      <c r="K3" s="8"/>
    </row>
    <row r="4" spans="1:11" x14ac:dyDescent="0.25">
      <c r="D4" s="8"/>
      <c r="E4" s="8"/>
      <c r="F4" s="8"/>
      <c r="G4" s="8"/>
      <c r="H4" s="8"/>
      <c r="I4" s="8"/>
      <c r="J4" s="8"/>
      <c r="K4" s="8"/>
    </row>
    <row r="6" spans="1:11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  <c r="J6" s="7"/>
      <c r="K6" s="7"/>
    </row>
    <row r="9" spans="1:11" ht="24" customHeight="1" x14ac:dyDescent="0.25">
      <c r="D9" s="10" t="s">
        <v>91</v>
      </c>
      <c r="E9" s="10" t="s">
        <v>92</v>
      </c>
      <c r="F9" s="10" t="s">
        <v>93</v>
      </c>
      <c r="G9" s="10" t="s">
        <v>44</v>
      </c>
      <c r="H9" s="10" t="s">
        <v>94</v>
      </c>
      <c r="I9" s="10" t="s">
        <v>95</v>
      </c>
      <c r="J9" s="10" t="s">
        <v>96</v>
      </c>
      <c r="K9" s="10" t="s">
        <v>97</v>
      </c>
    </row>
  </sheetData>
  <mergeCells count="3">
    <mergeCell ref="B1:K1"/>
    <mergeCell ref="D3:K4"/>
    <mergeCell ref="D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4" max="4" width="14" customWidth="1"/>
    <col min="5" max="5" width="26" customWidth="1"/>
    <col min="6" max="7" width="8" customWidth="1"/>
    <col min="8" max="9" width="16" customWidth="1"/>
  </cols>
  <sheetData>
    <row r="1" spans="1:9" ht="27.75" customHeight="1" x14ac:dyDescent="0.25">
      <c r="A1" s="17" t="s">
        <v>16</v>
      </c>
      <c r="B1" s="9" t="s">
        <v>0</v>
      </c>
      <c r="C1" s="9"/>
      <c r="D1" s="9"/>
      <c r="E1" s="9"/>
      <c r="F1" s="9"/>
      <c r="G1" s="9"/>
      <c r="H1" s="9"/>
      <c r="I1" s="9"/>
    </row>
    <row r="3" spans="1:9" ht="21.75" customHeight="1" x14ac:dyDescent="0.25">
      <c r="D3" s="8" t="s">
        <v>99</v>
      </c>
      <c r="E3" s="8"/>
      <c r="F3" s="8"/>
      <c r="G3" s="8"/>
      <c r="H3" s="8"/>
      <c r="I3" s="8"/>
    </row>
    <row r="4" spans="1:9" x14ac:dyDescent="0.25">
      <c r="D4" s="8"/>
      <c r="E4" s="8"/>
      <c r="F4" s="8"/>
      <c r="G4" s="8"/>
      <c r="H4" s="8"/>
      <c r="I4" s="8"/>
    </row>
    <row r="6" spans="1:9" ht="15.75" customHeight="1" x14ac:dyDescent="0.25">
      <c r="D6" s="7" t="str">
        <f>'Table Of Contents'!$D$6</f>
        <v>Sunday, December 11, 2016</v>
      </c>
      <c r="E6" s="7"/>
      <c r="F6" s="7"/>
      <c r="G6" s="7"/>
      <c r="H6" s="7"/>
      <c r="I6" s="7"/>
    </row>
    <row r="9" spans="1:9" ht="24" customHeight="1" x14ac:dyDescent="0.25">
      <c r="D9" s="10" t="s">
        <v>100</v>
      </c>
      <c r="E9" s="10" t="s">
        <v>45</v>
      </c>
      <c r="F9" s="10" t="s">
        <v>20</v>
      </c>
      <c r="G9" s="10" t="s">
        <v>46</v>
      </c>
      <c r="H9" s="10" t="s">
        <v>101</v>
      </c>
      <c r="I9" s="10" t="s">
        <v>102</v>
      </c>
    </row>
  </sheetData>
  <mergeCells count="3">
    <mergeCell ref="B1:I1"/>
    <mergeCell ref="D3:I4"/>
    <mergeCell ref="D6:I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Summary</vt:lpstr>
      <vt:lpstr>Daily Purchase Report</vt:lpstr>
      <vt:lpstr>Daily Sales Report</vt:lpstr>
      <vt:lpstr>Card Transactions</vt:lpstr>
      <vt:lpstr>Cheque Transactions</vt:lpstr>
      <vt:lpstr>Credit Collection</vt:lpstr>
      <vt:lpstr>Daily Stock Report</vt:lpstr>
      <vt:lpstr>Customers</vt:lpstr>
      <vt:lpstr>Vendors</vt:lpstr>
      <vt:lpstr>Item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Ujjwal Thapa</cp:lastModifiedBy>
  <cp:revision>0</cp:revision>
  <dcterms:created xsi:type="dcterms:W3CDTF">2026-07-01T09:30:35Z</dcterms:created>
  <dcterms:modified xsi:type="dcterms:W3CDTF">2026-07-01T09:36:51Z</dcterms:modified>
  <dc:language>en-US</dc:language>
</cp:coreProperties>
</file>